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KKK\Downloads\"/>
    </mc:Choice>
  </mc:AlternateContent>
  <xr:revisionPtr revIDLastSave="0" documentId="13_ncr:1_{9CC70A3D-C44D-413A-A2DD-A504CE9E8795}" xr6:coauthVersionLast="47" xr6:coauthVersionMax="47" xr10:uidLastSave="{00000000-0000-0000-0000-000000000000}"/>
  <bookViews>
    <workbookView xWindow="-108" yWindow="-108" windowWidth="23256" windowHeight="12456" activeTab="3" xr2:uid="{00000000-000D-0000-FFFF-FFFF00000000}"/>
  </bookViews>
  <sheets>
    <sheet name="Event_Data" sheetId="1" r:id="rId1"/>
    <sheet name="Summary" sheetId="15" r:id="rId2"/>
    <sheet name="Projections" sheetId="19" r:id="rId3"/>
    <sheet name="Event Dashboard" sheetId="20" r:id="rId4"/>
  </sheets>
  <definedNames>
    <definedName name="_xlnm._FilterDatabase" localSheetId="0" hidden="1">Event_Data!$A$1:$H$101</definedName>
    <definedName name="NativeTimeline_Registration_Date">#N/A</definedName>
    <definedName name="Slicer_Attendance_Type">#N/A</definedName>
    <definedName name="Slicer_Session_Preference">#N/A</definedName>
    <definedName name="solver_eng" localSheetId="0" hidden="1">1</definedName>
    <definedName name="solver_neg" localSheetId="0" hidden="1">1</definedName>
    <definedName name="solver_num" localSheetId="0" hidden="1">0</definedName>
    <definedName name="solver_typ" localSheetId="0" hidden="1">1</definedName>
    <definedName name="solver_val" localSheetId="0" hidden="1">0</definedName>
    <definedName name="solver_ver" localSheetId="0" hidden="1">3</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Lst>
</workbook>
</file>

<file path=xl/calcChain.xml><?xml version="1.0" encoding="utf-8"?>
<calcChain xmlns="http://schemas.openxmlformats.org/spreadsheetml/2006/main">
  <c r="I5" i="19" l="1"/>
  <c r="G5" i="19"/>
  <c r="I4" i="19"/>
  <c r="G4" i="19"/>
  <c r="H3" i="19"/>
  <c r="H2" i="19"/>
  <c r="C4" i="19"/>
  <c r="C5" i="19"/>
  <c r="E4" i="19"/>
  <c r="D4" i="19"/>
  <c r="D5" i="19"/>
  <c r="E5" i="19"/>
</calcChain>
</file>

<file path=xl/sharedStrings.xml><?xml version="1.0" encoding="utf-8"?>
<sst xmlns="http://schemas.openxmlformats.org/spreadsheetml/2006/main" count="679" uniqueCount="356">
  <si>
    <t>Name</t>
  </si>
  <si>
    <t>Email</t>
  </si>
  <si>
    <t>Session Preference</t>
  </si>
  <si>
    <t>Attendance Type</t>
  </si>
  <si>
    <t>Dietary Preference</t>
  </si>
  <si>
    <t>Registration Date</t>
  </si>
  <si>
    <t>A0001</t>
  </si>
  <si>
    <t>Katherine Lewis</t>
  </si>
  <si>
    <t>michaelcole@gmail.com</t>
  </si>
  <si>
    <t>Technology</t>
  </si>
  <si>
    <t>In-Person</t>
  </si>
  <si>
    <t>Vegetarian</t>
  </si>
  <si>
    <t>A0002</t>
  </si>
  <si>
    <t>Joshua Stephens</t>
  </si>
  <si>
    <t>erin02@robinson-moody.biz</t>
  </si>
  <si>
    <t>Marketing</t>
  </si>
  <si>
    <t>Gluten-Free</t>
  </si>
  <si>
    <t>A0003</t>
  </si>
  <si>
    <t>Gabrielle Jennings</t>
  </si>
  <si>
    <t>william93@yahoo.com</t>
  </si>
  <si>
    <t>Leadership</t>
  </si>
  <si>
    <t>Online</t>
  </si>
  <si>
    <t>A0004</t>
  </si>
  <si>
    <t>Tina Carrillo</t>
  </si>
  <si>
    <t>marygarcia@gutierrez-tyler.com</t>
  </si>
  <si>
    <t>A0005</t>
  </si>
  <si>
    <t>Bryan Hamilton</t>
  </si>
  <si>
    <t>antonio90@yahoo.com</t>
  </si>
  <si>
    <t>Vegan</t>
  </si>
  <si>
    <t>A0006</t>
  </si>
  <si>
    <t>Tina Williams</t>
  </si>
  <si>
    <t>bmoore@gmail.com</t>
  </si>
  <si>
    <t>A0007</t>
  </si>
  <si>
    <t>Rebecca Tate</t>
  </si>
  <si>
    <t>millerfrank@gmail.com</t>
  </si>
  <si>
    <t>A0008</t>
  </si>
  <si>
    <t>Curtis Ortiz</t>
  </si>
  <si>
    <t>justinlopez@yahoo.com</t>
  </si>
  <si>
    <t>Non-Vegetarian</t>
  </si>
  <si>
    <t>A0009</t>
  </si>
  <si>
    <t>Christopher Burns</t>
  </si>
  <si>
    <t>brianna75@hotmail.com</t>
  </si>
  <si>
    <t>A0010</t>
  </si>
  <si>
    <t>Bethany Turner</t>
  </si>
  <si>
    <t>johnbullock@hotmail.com</t>
  </si>
  <si>
    <t>A0011</t>
  </si>
  <si>
    <t>Kimberly Anderson</t>
  </si>
  <si>
    <t>jenniferclark@yahoo.com</t>
  </si>
  <si>
    <t>A0012</t>
  </si>
  <si>
    <t>Timothy Butler</t>
  </si>
  <si>
    <t>ujennings@day.biz</t>
  </si>
  <si>
    <t>A0013</t>
  </si>
  <si>
    <t>Gloria Ryan</t>
  </si>
  <si>
    <t>michelemyers@hall-coleman.com</t>
  </si>
  <si>
    <t>A0014</t>
  </si>
  <si>
    <t>Darin Hampton</t>
  </si>
  <si>
    <t>bthornton@tran.com</t>
  </si>
  <si>
    <t>A0015</t>
  </si>
  <si>
    <t>Neil Lester</t>
  </si>
  <si>
    <t>miguelkim@harrington.com</t>
  </si>
  <si>
    <t>A0016</t>
  </si>
  <si>
    <t>Barbara Dominguez</t>
  </si>
  <si>
    <t>volson@jones-watts.com</t>
  </si>
  <si>
    <t>A0017</t>
  </si>
  <si>
    <t>David Williams</t>
  </si>
  <si>
    <t>hollymeadows@davis-allison.net</t>
  </si>
  <si>
    <t>A0018</t>
  </si>
  <si>
    <t>Nancy Lee</t>
  </si>
  <si>
    <t>stephen94@hotmail.com</t>
  </si>
  <si>
    <t>A0019</t>
  </si>
  <si>
    <t>Oscar Fowler</t>
  </si>
  <si>
    <t>uhayden@yahoo.com</t>
  </si>
  <si>
    <t>A0020</t>
  </si>
  <si>
    <t>Amy Miller</t>
  </si>
  <si>
    <t>susan21@yahoo.com</t>
  </si>
  <si>
    <t>A0021</t>
  </si>
  <si>
    <t>Lydia Mcdonald</t>
  </si>
  <si>
    <t>peggyfriedman@yahoo.com</t>
  </si>
  <si>
    <t>A0022</t>
  </si>
  <si>
    <t>Emily Mcdonald</t>
  </si>
  <si>
    <t>iwebb@mullins.com</t>
  </si>
  <si>
    <t>A0023</t>
  </si>
  <si>
    <t>Carolyn Graves</t>
  </si>
  <si>
    <t>brookenavarro@hotmail.com</t>
  </si>
  <si>
    <t>A0024</t>
  </si>
  <si>
    <t>Linda White</t>
  </si>
  <si>
    <t>nancy35@yahoo.com</t>
  </si>
  <si>
    <t>A0025</t>
  </si>
  <si>
    <t>Andrew Becker</t>
  </si>
  <si>
    <t>jeffreyshepherd@yahoo.com</t>
  </si>
  <si>
    <t>A0026</t>
  </si>
  <si>
    <t>Regina Zimmerman</t>
  </si>
  <si>
    <t>martindarrell@todd.com</t>
  </si>
  <si>
    <t>A0027</t>
  </si>
  <si>
    <t>Meagan Wheeler</t>
  </si>
  <si>
    <t>rsmith@schmidt.com</t>
  </si>
  <si>
    <t>A0028</t>
  </si>
  <si>
    <t>Lisa Green</t>
  </si>
  <si>
    <t>anthony55@gmail.com</t>
  </si>
  <si>
    <t>A0029</t>
  </si>
  <si>
    <t>Tammy Brown</t>
  </si>
  <si>
    <t>brittany10@williams-smith.com</t>
  </si>
  <si>
    <t>A0030</t>
  </si>
  <si>
    <t>Debbie Bryant MD</t>
  </si>
  <si>
    <t>kjohnson@yahoo.com</t>
  </si>
  <si>
    <t>A0031</t>
  </si>
  <si>
    <t>Felicia Parker</t>
  </si>
  <si>
    <t>jeffreyrivera@watkins.com</t>
  </si>
  <si>
    <t>A0032</t>
  </si>
  <si>
    <t>Raven Cruz</t>
  </si>
  <si>
    <t>trevor71@gmail.com</t>
  </si>
  <si>
    <t>A0033</t>
  </si>
  <si>
    <t>Bethany Evans</t>
  </si>
  <si>
    <t>simsjoseph@yahoo.com</t>
  </si>
  <si>
    <t>A0034</t>
  </si>
  <si>
    <t>Jeremy Hogan</t>
  </si>
  <si>
    <t>njohnson@gray.net</t>
  </si>
  <si>
    <t>A0035</t>
  </si>
  <si>
    <t>Joan Foster</t>
  </si>
  <si>
    <t>abrown@gmail.com</t>
  </si>
  <si>
    <t>A0036</t>
  </si>
  <si>
    <t>Isaac Deleon</t>
  </si>
  <si>
    <t>michelleperry@day.com</t>
  </si>
  <si>
    <t>A0037</t>
  </si>
  <si>
    <t>Nathan Gonzales</t>
  </si>
  <si>
    <t>isaiahbuckley@yahoo.com</t>
  </si>
  <si>
    <t>A0038</t>
  </si>
  <si>
    <t>Dawn Ruiz</t>
  </si>
  <si>
    <t>ballcourtney@yahoo.com</t>
  </si>
  <si>
    <t>A0039</t>
  </si>
  <si>
    <t>Sharon George</t>
  </si>
  <si>
    <t>kristina80@nichols.com</t>
  </si>
  <si>
    <t>A0040</t>
  </si>
  <si>
    <t>Sarah Pratt</t>
  </si>
  <si>
    <t>srichards@gmail.com</t>
  </si>
  <si>
    <t>A0041</t>
  </si>
  <si>
    <t>Carlos Patrick</t>
  </si>
  <si>
    <t>devin54@carpenter.net</t>
  </si>
  <si>
    <t>A0042</t>
  </si>
  <si>
    <t>Kevin Morrison</t>
  </si>
  <si>
    <t>daviseric@gmail.com</t>
  </si>
  <si>
    <t>A0043</t>
  </si>
  <si>
    <t>Amber Vargas</t>
  </si>
  <si>
    <t>mkeller@miller-evans.com</t>
  </si>
  <si>
    <t>A0044</t>
  </si>
  <si>
    <t>Matthew Ayala</t>
  </si>
  <si>
    <t>carla47@boyer.com</t>
  </si>
  <si>
    <t>A0045</t>
  </si>
  <si>
    <t>Dylan Bowen</t>
  </si>
  <si>
    <t>crystal98@smith.net</t>
  </si>
  <si>
    <t>A0046</t>
  </si>
  <si>
    <t>Scott Moore</t>
  </si>
  <si>
    <t>paul42@gardner.biz</t>
  </si>
  <si>
    <t>A0047</t>
  </si>
  <si>
    <t>Richard Sawyer</t>
  </si>
  <si>
    <t>stevenanderson@gmail.com</t>
  </si>
  <si>
    <t>A0048</t>
  </si>
  <si>
    <t>Nicole Norris</t>
  </si>
  <si>
    <t>nmorris@yahoo.com</t>
  </si>
  <si>
    <t>A0049</t>
  </si>
  <si>
    <t>Patrick Farley</t>
  </si>
  <si>
    <t>moyerduane@page.net</t>
  </si>
  <si>
    <t>A0050</t>
  </si>
  <si>
    <t>Jacob Martinez</t>
  </si>
  <si>
    <t>lindamckenzie@yahoo.com</t>
  </si>
  <si>
    <t>A0051</t>
  </si>
  <si>
    <t>Julie Santiago</t>
  </si>
  <si>
    <t>jennifer57@wright.info</t>
  </si>
  <si>
    <t>A0052</t>
  </si>
  <si>
    <t>Rebecca Chapman</t>
  </si>
  <si>
    <t>sydneyhall@yahoo.com</t>
  </si>
  <si>
    <t>A0053</t>
  </si>
  <si>
    <t>Sarah Day</t>
  </si>
  <si>
    <t>antonio31@suarez.com</t>
  </si>
  <si>
    <t>A0054</t>
  </si>
  <si>
    <t>Laura Mueller</t>
  </si>
  <si>
    <t>webbmegan@murray.com</t>
  </si>
  <si>
    <t>A0055</t>
  </si>
  <si>
    <t>Bradley Rodgers</t>
  </si>
  <si>
    <t>jdunlap@gmail.com</t>
  </si>
  <si>
    <t>A0056</t>
  </si>
  <si>
    <t>Tracy Frazier</t>
  </si>
  <si>
    <t>michael45@yahoo.com</t>
  </si>
  <si>
    <t>A0057</t>
  </si>
  <si>
    <t>Michaela Mendoza</t>
  </si>
  <si>
    <t>klinecarlos@gmail.com</t>
  </si>
  <si>
    <t>A0058</t>
  </si>
  <si>
    <t>Kim Williams</t>
  </si>
  <si>
    <t>bradleymelissa@hotmail.com</t>
  </si>
  <si>
    <t>A0059</t>
  </si>
  <si>
    <t>Dustin Bird</t>
  </si>
  <si>
    <t>cantuscott@wilson.com</t>
  </si>
  <si>
    <t>A0060</t>
  </si>
  <si>
    <t>Jennifer Bell</t>
  </si>
  <si>
    <t>eatonlauren@yahoo.com</t>
  </si>
  <si>
    <t>A0061</t>
  </si>
  <si>
    <t>Kayla Burns</t>
  </si>
  <si>
    <t>anthony24@schmidt.biz</t>
  </si>
  <si>
    <t>A0062</t>
  </si>
  <si>
    <t>Natasha Schmidt</t>
  </si>
  <si>
    <t>mariopotts@burke.com</t>
  </si>
  <si>
    <t>A0063</t>
  </si>
  <si>
    <t>Kimberly Forbes</t>
  </si>
  <si>
    <t>blakeandrews@yahoo.com</t>
  </si>
  <si>
    <t>A0064</t>
  </si>
  <si>
    <t>Frank Stephens</t>
  </si>
  <si>
    <t>amymalone@mayer-roberson.com</t>
  </si>
  <si>
    <t>A0065</t>
  </si>
  <si>
    <t>James Heath</t>
  </si>
  <si>
    <t>morganstacy@chavez.info</t>
  </si>
  <si>
    <t>A0066</t>
  </si>
  <si>
    <t>Cody Parker</t>
  </si>
  <si>
    <t>xdeleon@reynolds-smith.com</t>
  </si>
  <si>
    <t>A0067</t>
  </si>
  <si>
    <t>Bradley Griffin</t>
  </si>
  <si>
    <t>john38@evans-johnson.com</t>
  </si>
  <si>
    <t>A0068</t>
  </si>
  <si>
    <t>James Hood</t>
  </si>
  <si>
    <t>mary24@espinoza.com</t>
  </si>
  <si>
    <t>A0069</t>
  </si>
  <si>
    <t>Shannon Bradford</t>
  </si>
  <si>
    <t>ewhite@gmail.com</t>
  </si>
  <si>
    <t>A0070</t>
  </si>
  <si>
    <t>Kimberly Saunders</t>
  </si>
  <si>
    <t>mpetty@wood.org</t>
  </si>
  <si>
    <t>A0071</t>
  </si>
  <si>
    <t>Michelle Chavez</t>
  </si>
  <si>
    <t>natalieclayton@contreras-reilly.org</t>
  </si>
  <si>
    <t>A0072</t>
  </si>
  <si>
    <t>Laurie Scott</t>
  </si>
  <si>
    <t>ashley48@roberts-osborne.com</t>
  </si>
  <si>
    <t>A0073</t>
  </si>
  <si>
    <t>Patrick Cox</t>
  </si>
  <si>
    <t>grant63@gmail.com</t>
  </si>
  <si>
    <t>A0074</t>
  </si>
  <si>
    <t>Courtney Conner</t>
  </si>
  <si>
    <t>matthewsjessica@stevens-baker.org</t>
  </si>
  <si>
    <t>A0075</t>
  </si>
  <si>
    <t>Robert Roberts</t>
  </si>
  <si>
    <t>milleralex@johnson.biz</t>
  </si>
  <si>
    <t>A0076</t>
  </si>
  <si>
    <t>Heather Rivera</t>
  </si>
  <si>
    <t>stacy40@gmail.com</t>
  </si>
  <si>
    <t>A0077</t>
  </si>
  <si>
    <t>Nicholas Moran</t>
  </si>
  <si>
    <t>morgan12@yahoo.com</t>
  </si>
  <si>
    <t>A0078</t>
  </si>
  <si>
    <t>Timothy Cook</t>
  </si>
  <si>
    <t>livingstonrichard@yahoo.com</t>
  </si>
  <si>
    <t>A0079</t>
  </si>
  <si>
    <t>Robert Parks</t>
  </si>
  <si>
    <t>sreynolds@anderson.com</t>
  </si>
  <si>
    <t>A0080</t>
  </si>
  <si>
    <t>Edward Barker</t>
  </si>
  <si>
    <t>courtney57@gmail.com</t>
  </si>
  <si>
    <t>A0081</t>
  </si>
  <si>
    <t>William Pierce</t>
  </si>
  <si>
    <t>hoffmancraig@mckenzie.com</t>
  </si>
  <si>
    <t>A0082</t>
  </si>
  <si>
    <t>Judith Miller</t>
  </si>
  <si>
    <t>zacharyroy@gmail.com</t>
  </si>
  <si>
    <t>A0083</t>
  </si>
  <si>
    <t>Alan Liu</t>
  </si>
  <si>
    <t>wrangel@hotmail.com</t>
  </si>
  <si>
    <t>A0084</t>
  </si>
  <si>
    <t>James Villarreal</t>
  </si>
  <si>
    <t>henry03@obrien.net</t>
  </si>
  <si>
    <t>A0085</t>
  </si>
  <si>
    <t>Christopher Boyer</t>
  </si>
  <si>
    <t>michaelunderwood@gmail.com</t>
  </si>
  <si>
    <t>A0086</t>
  </si>
  <si>
    <t>Colin Kramer</t>
  </si>
  <si>
    <t>shawnoconnor@hotmail.com</t>
  </si>
  <si>
    <t>A0087</t>
  </si>
  <si>
    <t>Jacob Benton</t>
  </si>
  <si>
    <t>nathan01@costa-thomas.info</t>
  </si>
  <si>
    <t>A0088</t>
  </si>
  <si>
    <t>Elizabeth Orozco</t>
  </si>
  <si>
    <t>pamelagonzalez@rodriguez.com</t>
  </si>
  <si>
    <t>A0089</t>
  </si>
  <si>
    <t>Christopher Potts</t>
  </si>
  <si>
    <t>cynthia21@foley.com</t>
  </si>
  <si>
    <t>A0090</t>
  </si>
  <si>
    <t>Rodney Jones</t>
  </si>
  <si>
    <t>vaughncaleb@yahoo.com</t>
  </si>
  <si>
    <t>A0091</t>
  </si>
  <si>
    <t>Carlos Ray</t>
  </si>
  <si>
    <t>matthewhayes@gibson-tucker.org</t>
  </si>
  <si>
    <t>A0092</t>
  </si>
  <si>
    <t>Veronica Wall</t>
  </si>
  <si>
    <t>riggsjeffrey@jackson.com</t>
  </si>
  <si>
    <t>A0093</t>
  </si>
  <si>
    <t>Susan Johnson</t>
  </si>
  <si>
    <t>larryewing@hotmail.com</t>
  </si>
  <si>
    <t>A0094</t>
  </si>
  <si>
    <t>Sarah Lewis</t>
  </si>
  <si>
    <t>williamramos@wood.com</t>
  </si>
  <si>
    <t>A0095</t>
  </si>
  <si>
    <t>Mark Patterson</t>
  </si>
  <si>
    <t>davenportrobert@johnson.biz</t>
  </si>
  <si>
    <t>A0096</t>
  </si>
  <si>
    <t>Stephanie Davis</t>
  </si>
  <si>
    <t>james41@jackson.com</t>
  </si>
  <si>
    <t>A0097</t>
  </si>
  <si>
    <t>Julia Brown</t>
  </si>
  <si>
    <t>gonzalesjames@gmail.com</t>
  </si>
  <si>
    <t>A0098</t>
  </si>
  <si>
    <t>James Kane</t>
  </si>
  <si>
    <t>deanmolly@hall.com</t>
  </si>
  <si>
    <t>A0099</t>
  </si>
  <si>
    <t>Melissa Parker</t>
  </si>
  <si>
    <t>nicoleflores@davis-hernandez.com</t>
  </si>
  <si>
    <t>A0100</t>
  </si>
  <si>
    <t>Emily Williams</t>
  </si>
  <si>
    <t>hpotts@yahoo.com</t>
  </si>
  <si>
    <t>ID</t>
  </si>
  <si>
    <t>Grand Total</t>
  </si>
  <si>
    <t>Timeline</t>
  </si>
  <si>
    <t>Forecast</t>
  </si>
  <si>
    <t>Lower Confidence Bound</t>
  </si>
  <si>
    <t>Upper Confidence Bound</t>
  </si>
  <si>
    <t>2023</t>
  </si>
  <si>
    <t>2024</t>
  </si>
  <si>
    <t>Registrations</t>
  </si>
  <si>
    <t>Forecasted Revenue</t>
  </si>
  <si>
    <t>Actual Revenue</t>
  </si>
  <si>
    <t>Ticket Price</t>
  </si>
  <si>
    <t>Actual Profit</t>
  </si>
  <si>
    <t>Forecasted Profit</t>
  </si>
  <si>
    <t>Operational Costs</t>
  </si>
  <si>
    <t>Marketing Costs</t>
  </si>
  <si>
    <t>Target Profit</t>
  </si>
  <si>
    <t>Forecsated Registrations(2025)</t>
  </si>
  <si>
    <t>Forecsated Registrations(2026)</t>
  </si>
  <si>
    <t>Average Ticket Price</t>
  </si>
  <si>
    <t>Required Registrations for Target Profit</t>
  </si>
  <si>
    <t>Required Average Ticket Price for Target Profit(2025)</t>
  </si>
  <si>
    <t>Required Average Ticket Price for Target Profit(2026)</t>
  </si>
  <si>
    <t>Information from Goal Seek</t>
  </si>
  <si>
    <t>Ticket Prices</t>
  </si>
  <si>
    <t>Jan</t>
  </si>
  <si>
    <t>Feb</t>
  </si>
  <si>
    <t>Mar</t>
  </si>
  <si>
    <t>Apr</t>
  </si>
  <si>
    <t>May</t>
  </si>
  <si>
    <t>Jun</t>
  </si>
  <si>
    <t>Jul</t>
  </si>
  <si>
    <t>Aug</t>
  </si>
  <si>
    <t>Sep</t>
  </si>
  <si>
    <t>Oct</t>
  </si>
  <si>
    <t>Nov</t>
  </si>
  <si>
    <t>Dec</t>
  </si>
  <si>
    <t>Revenue</t>
  </si>
  <si>
    <t>Attendance</t>
  </si>
  <si>
    <t>Total Attendees</t>
  </si>
  <si>
    <t>Total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</si>
</sst>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2]\ #,##0.00"/>
  </numFmts>
  <fonts count="8" x14ac:knownFonts="1">
    <font>
      <sz val="11"/>
      <color theme="1"/>
      <name val="Calibri"/>
      <scheme val="minor"/>
    </font>
    <font>
      <sz val="11"/>
      <color theme="1"/>
      <name val="Calibri"/>
      <family val="2"/>
      <scheme val="minor"/>
    </font>
    <font>
      <sz val="11"/>
      <color theme="1"/>
      <name val="Calibri"/>
      <family val="2"/>
      <scheme val="minor"/>
    </font>
    <font>
      <b/>
      <sz val="11"/>
      <color theme="1"/>
      <name val="Calibri"/>
      <family val="2"/>
    </font>
    <font>
      <sz val="11"/>
      <color theme="1"/>
      <name val="Calibri"/>
      <family val="2"/>
      <scheme val="minor"/>
    </font>
    <font>
      <sz val="11"/>
      <color theme="1"/>
      <name val="Calibri"/>
      <family val="2"/>
    </font>
    <font>
      <b/>
      <sz val="11"/>
      <color theme="1"/>
      <name val="Calibri"/>
      <family val="2"/>
      <scheme val="minor"/>
    </font>
    <font>
      <sz val="11"/>
      <color rgb="FF000000"/>
      <name val="Calibri"/>
      <family val="2"/>
    </font>
  </fonts>
  <fills count="2">
    <fill>
      <patternFill patternType="none"/>
    </fill>
    <fill>
      <patternFill patternType="gray125"/>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8">
    <xf numFmtId="0" fontId="0" fillId="0" borderId="0" xfId="0"/>
    <xf numFmtId="0" fontId="3" fillId="0" borderId="1" xfId="0" applyFont="1" applyBorder="1" applyAlignment="1">
      <alignment horizontal="center" vertical="top"/>
    </xf>
    <xf numFmtId="0" fontId="4" fillId="0" borderId="0" xfId="0" applyFont="1"/>
    <xf numFmtId="2" fontId="0" fillId="0" borderId="0" xfId="0" applyNumberFormat="1"/>
    <xf numFmtId="164" fontId="3" fillId="0" borderId="1" xfId="0" applyNumberFormat="1" applyFont="1" applyBorder="1" applyAlignment="1">
      <alignment horizontal="center" vertical="top"/>
    </xf>
    <xf numFmtId="164" fontId="5" fillId="0" borderId="0" xfId="0" applyNumberFormat="1" applyFont="1"/>
    <xf numFmtId="164" fontId="0" fillId="0" borderId="0" xfId="0" applyNumberFormat="1"/>
    <xf numFmtId="165" fontId="0" fillId="0" borderId="0" xfId="0" applyNumberFormat="1"/>
    <xf numFmtId="165" fontId="3" fillId="0" borderId="1" xfId="0" applyNumberFormat="1" applyFont="1" applyBorder="1" applyAlignment="1">
      <alignment horizontal="center" vertical="top"/>
    </xf>
    <xf numFmtId="165" fontId="4" fillId="0" borderId="0" xfId="0" applyNumberFormat="1" applyFont="1"/>
    <xf numFmtId="0" fontId="0" fillId="0" borderId="0" xfId="0" pivotButton="1"/>
    <xf numFmtId="0" fontId="0" fillId="0" borderId="0" xfId="0" applyAlignment="1">
      <alignment horizontal="left"/>
    </xf>
    <xf numFmtId="0" fontId="2" fillId="0" borderId="0" xfId="0" applyFont="1"/>
    <xf numFmtId="165" fontId="2" fillId="0" borderId="0" xfId="0" applyNumberFormat="1" applyFont="1"/>
    <xf numFmtId="0" fontId="1" fillId="0" borderId="0" xfId="0" applyFont="1"/>
    <xf numFmtId="0" fontId="6" fillId="0" borderId="0" xfId="0" applyFont="1"/>
    <xf numFmtId="0" fontId="0" fillId="0" borderId="0" xfId="0" applyAlignment="1">
      <alignment horizontal="left" indent="1"/>
    </xf>
    <xf numFmtId="0" fontId="0" fillId="0" borderId="0" xfId="0" applyNumberFormat="1"/>
  </cellXfs>
  <cellStyles count="1">
    <cellStyle name="Normal" xfId="0" builtinId="0"/>
  </cellStyles>
  <dxfs count="6">
    <dxf>
      <numFmt numFmtId="0" formatCode="General"/>
    </dxf>
    <dxf>
      <numFmt numFmtId="165" formatCode="[$€-2]\ #,##0.00"/>
    </dxf>
    <dxf>
      <numFmt numFmtId="165" formatCode="[$€-2]\ #,##0.00"/>
    </dxf>
    <dxf>
      <numFmt numFmtId="165" formatCode="[$€-2]\ #,##0.0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[hdMbIpRUSI-y3sZbj-7ofw_99e248b1590c44eba10b969e324cc9e1_Conference-Dataset.xlsm]Summary!PivotTable1</c:name>
    <c:fmtId val="4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a:t>
            </a:r>
            <a:r>
              <a:rPr lang="en-IN" baseline="0"/>
              <a:t> By Session Preference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Summary!$G$1</c:f>
              <c:strCache>
                <c:ptCount val="1"/>
                <c:pt idx="0">
                  <c:v>Total</c:v>
                </c:pt>
              </c:strCache>
            </c:strRef>
          </c:tx>
          <c:spPr>
            <a:solidFill>
              <a:schemeClr val="accent1"/>
            </a:solidFill>
            <a:ln>
              <a:noFill/>
            </a:ln>
            <a:effectLst/>
          </c:spPr>
          <c:invertIfNegative val="0"/>
          <c:cat>
            <c:multiLvlStrRef>
              <c:f>Summary!$F$2:$F$6</c:f>
              <c:multiLvlStrCache>
                <c:ptCount val="2"/>
                <c:lvl>
                  <c:pt idx="0">
                    <c:v>Marketing</c:v>
                  </c:pt>
                  <c:pt idx="1">
                    <c:v>Marketing</c:v>
                  </c:pt>
                </c:lvl>
                <c:lvl>
                  <c:pt idx="0">
                    <c:v>2023</c:v>
                  </c:pt>
                  <c:pt idx="1">
                    <c:v>2024</c:v>
                  </c:pt>
                </c:lvl>
              </c:multiLvlStrCache>
            </c:multiLvlStrRef>
          </c:cat>
          <c:val>
            <c:numRef>
              <c:f>Summary!$G$2:$G$6</c:f>
              <c:numCache>
                <c:formatCode>[$€-2]\ #,##0.00</c:formatCode>
                <c:ptCount val="2"/>
                <c:pt idx="0">
                  <c:v>4080</c:v>
                </c:pt>
                <c:pt idx="1">
                  <c:v>4560</c:v>
                </c:pt>
              </c:numCache>
            </c:numRef>
          </c:val>
          <c:extLst>
            <c:ext xmlns:c16="http://schemas.microsoft.com/office/drawing/2014/chart" uri="{C3380CC4-5D6E-409C-BE32-E72D297353CC}">
              <c16:uniqueId val="{00000000-6EB6-49DF-9A9C-71C0CC2A44D9}"/>
            </c:ext>
          </c:extLst>
        </c:ser>
        <c:dLbls>
          <c:showLegendKey val="0"/>
          <c:showVal val="0"/>
          <c:showCatName val="0"/>
          <c:showSerName val="0"/>
          <c:showPercent val="0"/>
          <c:showBubbleSize val="0"/>
        </c:dLbls>
        <c:gapWidth val="219"/>
        <c:overlap val="-27"/>
        <c:axId val="686729231"/>
        <c:axId val="686747951"/>
      </c:barChart>
      <c:catAx>
        <c:axId val="686729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747951"/>
        <c:crosses val="autoZero"/>
        <c:auto val="1"/>
        <c:lblAlgn val="ctr"/>
        <c:lblOffset val="100"/>
        <c:noMultiLvlLbl val="0"/>
      </c:catAx>
      <c:valAx>
        <c:axId val="686747951"/>
        <c:scaling>
          <c:orientation val="minMax"/>
        </c:scaling>
        <c:delete val="0"/>
        <c:axPos val="l"/>
        <c:majorGridlines>
          <c:spPr>
            <a:ln w="9525" cap="flat" cmpd="sng" algn="ctr">
              <a:solidFill>
                <a:schemeClr val="tx1">
                  <a:lumMod val="15000"/>
                  <a:lumOff val="85000"/>
                </a:schemeClr>
              </a:solidFill>
              <a:round/>
            </a:ln>
            <a:effectLst/>
          </c:spPr>
        </c:majorGridlines>
        <c:numFmt formatCode="[$€-2]\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729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Attendee</a:t>
            </a:r>
            <a:r>
              <a:rPr lang="en-IN" baseline="0"/>
              <a:t> Trends Over Time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Projections!$B$1</c:f>
              <c:strCache>
                <c:ptCount val="1"/>
                <c:pt idx="0">
                  <c:v>Registrations</c:v>
                </c:pt>
              </c:strCache>
            </c:strRef>
          </c:tx>
          <c:spPr>
            <a:ln w="28575" cap="rnd">
              <a:solidFill>
                <a:schemeClr val="accent1"/>
              </a:solidFill>
              <a:round/>
            </a:ln>
            <a:effectLst/>
          </c:spPr>
          <c:marker>
            <c:symbol val="none"/>
          </c:marker>
          <c:cat>
            <c:numRef>
              <c:f>Projections!$A$2:$A$5</c:f>
              <c:numCache>
                <c:formatCode>General</c:formatCode>
                <c:ptCount val="4"/>
                <c:pt idx="0">
                  <c:v>2023</c:v>
                </c:pt>
                <c:pt idx="1">
                  <c:v>2024</c:v>
                </c:pt>
                <c:pt idx="2">
                  <c:v>2025</c:v>
                </c:pt>
                <c:pt idx="3">
                  <c:v>2026</c:v>
                </c:pt>
              </c:numCache>
            </c:numRef>
          </c:cat>
          <c:val>
            <c:numRef>
              <c:f>Projections!$B$2:$B$5</c:f>
              <c:numCache>
                <c:formatCode>General</c:formatCode>
                <c:ptCount val="4"/>
                <c:pt idx="0">
                  <c:v>42</c:v>
                </c:pt>
                <c:pt idx="1">
                  <c:v>58</c:v>
                </c:pt>
              </c:numCache>
            </c:numRef>
          </c:val>
          <c:smooth val="0"/>
          <c:extLst>
            <c:ext xmlns:c16="http://schemas.microsoft.com/office/drawing/2014/chart" uri="{C3380CC4-5D6E-409C-BE32-E72D297353CC}">
              <c16:uniqueId val="{00000000-8DFE-41DA-9171-842CA7D42E77}"/>
            </c:ext>
          </c:extLst>
        </c:ser>
        <c:ser>
          <c:idx val="1"/>
          <c:order val="1"/>
          <c:tx>
            <c:strRef>
              <c:f>Projections!$C$1</c:f>
              <c:strCache>
                <c:ptCount val="1"/>
                <c:pt idx="0">
                  <c:v>Forecast</c:v>
                </c:pt>
              </c:strCache>
            </c:strRef>
          </c:tx>
          <c:spPr>
            <a:ln w="28575" cap="rnd">
              <a:solidFill>
                <a:schemeClr val="accent2"/>
              </a:solidFill>
              <a:round/>
            </a:ln>
            <a:effectLst/>
          </c:spPr>
          <c:marker>
            <c:symbol val="none"/>
          </c:marker>
          <c:cat>
            <c:numRef>
              <c:f>Projections!$A$2:$A$5</c:f>
              <c:numCache>
                <c:formatCode>General</c:formatCode>
                <c:ptCount val="4"/>
                <c:pt idx="0">
                  <c:v>2023</c:v>
                </c:pt>
                <c:pt idx="1">
                  <c:v>2024</c:v>
                </c:pt>
                <c:pt idx="2">
                  <c:v>2025</c:v>
                </c:pt>
                <c:pt idx="3">
                  <c:v>2026</c:v>
                </c:pt>
              </c:numCache>
            </c:numRef>
          </c:cat>
          <c:val>
            <c:numRef>
              <c:f>Projections!$C$2:$C$5</c:f>
              <c:numCache>
                <c:formatCode>General</c:formatCode>
                <c:ptCount val="4"/>
                <c:pt idx="1">
                  <c:v>58</c:v>
                </c:pt>
                <c:pt idx="2">
                  <c:v>74</c:v>
                </c:pt>
                <c:pt idx="3">
                  <c:v>90</c:v>
                </c:pt>
              </c:numCache>
            </c:numRef>
          </c:val>
          <c:smooth val="0"/>
          <c:extLst>
            <c:ext xmlns:c16="http://schemas.microsoft.com/office/drawing/2014/chart" uri="{C3380CC4-5D6E-409C-BE32-E72D297353CC}">
              <c16:uniqueId val="{00000001-8DFE-41DA-9171-842CA7D42E77}"/>
            </c:ext>
          </c:extLst>
        </c:ser>
        <c:ser>
          <c:idx val="2"/>
          <c:order val="2"/>
          <c:tx>
            <c:strRef>
              <c:f>Projections!$D$1</c:f>
              <c:strCache>
                <c:ptCount val="1"/>
                <c:pt idx="0">
                  <c:v>Lower Confidence Bound</c:v>
                </c:pt>
              </c:strCache>
            </c:strRef>
          </c:tx>
          <c:spPr>
            <a:ln w="28575" cap="rnd">
              <a:solidFill>
                <a:schemeClr val="accent2"/>
              </a:solidFill>
              <a:round/>
            </a:ln>
            <a:effectLst/>
          </c:spPr>
          <c:marker>
            <c:symbol val="none"/>
          </c:marker>
          <c:cat>
            <c:numRef>
              <c:f>Projections!$A$2:$A$5</c:f>
              <c:numCache>
                <c:formatCode>General</c:formatCode>
                <c:ptCount val="4"/>
                <c:pt idx="0">
                  <c:v>2023</c:v>
                </c:pt>
                <c:pt idx="1">
                  <c:v>2024</c:v>
                </c:pt>
                <c:pt idx="2">
                  <c:v>2025</c:v>
                </c:pt>
                <c:pt idx="3">
                  <c:v>2026</c:v>
                </c:pt>
              </c:numCache>
            </c:numRef>
          </c:cat>
          <c:val>
            <c:numRef>
              <c:f>Projections!$D$2:$D$5</c:f>
              <c:numCache>
                <c:formatCode>0.00</c:formatCode>
                <c:ptCount val="4"/>
                <c:pt idx="1">
                  <c:v>58</c:v>
                </c:pt>
                <c:pt idx="2">
                  <c:v>74</c:v>
                </c:pt>
                <c:pt idx="3">
                  <c:v>90</c:v>
                </c:pt>
              </c:numCache>
            </c:numRef>
          </c:val>
          <c:smooth val="0"/>
          <c:extLst>
            <c:ext xmlns:c16="http://schemas.microsoft.com/office/drawing/2014/chart" uri="{C3380CC4-5D6E-409C-BE32-E72D297353CC}">
              <c16:uniqueId val="{00000002-8DFE-41DA-9171-842CA7D42E77}"/>
            </c:ext>
          </c:extLst>
        </c:ser>
        <c:ser>
          <c:idx val="3"/>
          <c:order val="3"/>
          <c:tx>
            <c:strRef>
              <c:f>Projections!$E$1</c:f>
              <c:strCache>
                <c:ptCount val="1"/>
                <c:pt idx="0">
                  <c:v>Upper Confidence Bound</c:v>
                </c:pt>
              </c:strCache>
            </c:strRef>
          </c:tx>
          <c:spPr>
            <a:ln w="28575" cap="rnd">
              <a:solidFill>
                <a:schemeClr val="accent2"/>
              </a:solidFill>
              <a:round/>
            </a:ln>
            <a:effectLst/>
          </c:spPr>
          <c:marker>
            <c:symbol val="none"/>
          </c:marker>
          <c:cat>
            <c:numRef>
              <c:f>Projections!$A$2:$A$5</c:f>
              <c:numCache>
                <c:formatCode>General</c:formatCode>
                <c:ptCount val="4"/>
                <c:pt idx="0">
                  <c:v>2023</c:v>
                </c:pt>
                <c:pt idx="1">
                  <c:v>2024</c:v>
                </c:pt>
                <c:pt idx="2">
                  <c:v>2025</c:v>
                </c:pt>
                <c:pt idx="3">
                  <c:v>2026</c:v>
                </c:pt>
              </c:numCache>
            </c:numRef>
          </c:cat>
          <c:val>
            <c:numRef>
              <c:f>Projections!$E$2:$E$5</c:f>
              <c:numCache>
                <c:formatCode>0.00</c:formatCode>
                <c:ptCount val="4"/>
                <c:pt idx="1">
                  <c:v>58</c:v>
                </c:pt>
                <c:pt idx="2">
                  <c:v>74</c:v>
                </c:pt>
                <c:pt idx="3">
                  <c:v>90</c:v>
                </c:pt>
              </c:numCache>
            </c:numRef>
          </c:val>
          <c:smooth val="0"/>
          <c:extLst>
            <c:ext xmlns:c16="http://schemas.microsoft.com/office/drawing/2014/chart" uri="{C3380CC4-5D6E-409C-BE32-E72D297353CC}">
              <c16:uniqueId val="{00000003-8DFE-41DA-9171-842CA7D42E77}"/>
            </c:ext>
          </c:extLst>
        </c:ser>
        <c:dLbls>
          <c:showLegendKey val="0"/>
          <c:showVal val="0"/>
          <c:showCatName val="0"/>
          <c:showSerName val="0"/>
          <c:showPercent val="0"/>
          <c:showBubbleSize val="0"/>
        </c:dLbls>
        <c:smooth val="0"/>
        <c:axId val="900307647"/>
        <c:axId val="900301887"/>
      </c:lineChart>
      <c:catAx>
        <c:axId val="900307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301887"/>
        <c:crosses val="autoZero"/>
        <c:auto val="1"/>
        <c:lblAlgn val="ctr"/>
        <c:lblOffset val="100"/>
        <c:noMultiLvlLbl val="0"/>
      </c:catAx>
      <c:valAx>
        <c:axId val="900301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307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[hdMbIpRUSI-y3sZbj-7ofw_99e248b1590c44eba10b969e324cc9e1_Conference-Dataset.xlsm]Summary!PivotTable2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Online</a:t>
            </a:r>
            <a:r>
              <a:rPr lang="en-US" baseline="0"/>
              <a:t> Vs In-Person (2023)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Summary!$G$12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88-43E9-943F-0A03DE214E2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88-43E9-943F-0A03DE214E29}"/>
              </c:ext>
            </c:extLst>
          </c:dPt>
          <c:cat>
            <c:multiLvlStrRef>
              <c:f>Summary!$F$13:$F$16</c:f>
              <c:multiLvlStrCache>
                <c:ptCount val="2"/>
                <c:lvl>
                  <c:pt idx="0">
                    <c:v>In-Person</c:v>
                  </c:pt>
                  <c:pt idx="1">
                    <c:v>Online</c:v>
                  </c:pt>
                </c:lvl>
                <c:lvl>
                  <c:pt idx="0">
                    <c:v>2023</c:v>
                  </c:pt>
                </c:lvl>
              </c:multiLvlStrCache>
            </c:multiLvlStrRef>
          </c:cat>
          <c:val>
            <c:numRef>
              <c:f>Summary!$G$13:$G$16</c:f>
              <c:numCache>
                <c:formatCode>General</c:formatCode>
                <c:ptCount val="2"/>
                <c:pt idx="0">
                  <c:v>10</c:v>
                </c:pt>
                <c:pt idx="1">
                  <c:v>7</c:v>
                </c:pt>
              </c:numCache>
            </c:numRef>
          </c:val>
          <c:extLst>
            <c:ext xmlns:c16="http://schemas.microsoft.com/office/drawing/2014/chart" uri="{C3380CC4-5D6E-409C-BE32-E72D297353CC}">
              <c16:uniqueId val="{00000004-6F88-43E9-943F-0A03DE214E2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[hdMbIpRUSI-y3sZbj-7ofw_99e248b1590c44eba10b969e324cc9e1_Conference-Dataset.xlsm]Summary!PivotTable5</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US" sz="1400" b="0" i="0" u="none" strike="noStrike" kern="1200" spc="0" baseline="0">
                <a:solidFill>
                  <a:srgbClr val="000000">
                    <a:lumMod val="65000"/>
                    <a:lumOff val="35000"/>
                  </a:srgbClr>
                </a:solidFill>
              </a:rPr>
              <a:t>Online Vs In-Person (2024)</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Summary!$G$18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989-49BF-8545-FC8FCC09E1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989-49BF-8545-FC8FCC09E1A3}"/>
              </c:ext>
            </c:extLst>
          </c:dPt>
          <c:cat>
            <c:multiLvlStrRef>
              <c:f>Summary!$F$19:$F$22</c:f>
              <c:multiLvlStrCache>
                <c:ptCount val="2"/>
                <c:lvl>
                  <c:pt idx="0">
                    <c:v>In-Person</c:v>
                  </c:pt>
                  <c:pt idx="1">
                    <c:v>Online</c:v>
                  </c:pt>
                </c:lvl>
                <c:lvl>
                  <c:pt idx="0">
                    <c:v>2024</c:v>
                  </c:pt>
                </c:lvl>
              </c:multiLvlStrCache>
            </c:multiLvlStrRef>
          </c:cat>
          <c:val>
            <c:numRef>
              <c:f>Summary!$G$19:$G$22</c:f>
              <c:numCache>
                <c:formatCode>General</c:formatCode>
                <c:ptCount val="2"/>
                <c:pt idx="0">
                  <c:v>14</c:v>
                </c:pt>
                <c:pt idx="1">
                  <c:v>5</c:v>
                </c:pt>
              </c:numCache>
            </c:numRef>
          </c:val>
          <c:extLst>
            <c:ext xmlns:c16="http://schemas.microsoft.com/office/drawing/2014/chart" uri="{C3380CC4-5D6E-409C-BE32-E72D297353CC}">
              <c16:uniqueId val="{00000004-C989-49BF-8545-FC8FCC09E1A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0</xdr:rowOff>
    </xdr:from>
    <xdr:to>
      <xdr:col>13</xdr:col>
      <xdr:colOff>114300</xdr:colOff>
      <xdr:row>21</xdr:row>
      <xdr:rowOff>106680</xdr:rowOff>
    </xdr:to>
    <xdr:graphicFrame macro="">
      <xdr:nvGraphicFramePr>
        <xdr:cNvPr id="13" name="Chart 12">
          <a:extLst>
            <a:ext uri="{FF2B5EF4-FFF2-40B4-BE49-F238E27FC236}">
              <a16:creationId xmlns:a16="http://schemas.microsoft.com/office/drawing/2014/main" id="{B64D982C-7FA8-4D1A-93EF-2FA124F72E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133350</xdr:colOff>
      <xdr:row>7</xdr:row>
      <xdr:rowOff>9525</xdr:rowOff>
    </xdr:from>
    <xdr:to>
      <xdr:col>25</xdr:col>
      <xdr:colOff>409575</xdr:colOff>
      <xdr:row>21</xdr:row>
      <xdr:rowOff>123825</xdr:rowOff>
    </xdr:to>
    <xdr:graphicFrame macro="">
      <xdr:nvGraphicFramePr>
        <xdr:cNvPr id="14" name="Chart 13">
          <a:extLst>
            <a:ext uri="{FF2B5EF4-FFF2-40B4-BE49-F238E27FC236}">
              <a16:creationId xmlns:a16="http://schemas.microsoft.com/office/drawing/2014/main" id="{62780A1C-EDB8-4B46-962D-6562A5419F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21</xdr:row>
      <xdr:rowOff>106680</xdr:rowOff>
    </xdr:from>
    <xdr:to>
      <xdr:col>13</xdr:col>
      <xdr:colOff>114300</xdr:colOff>
      <xdr:row>35</xdr:row>
      <xdr:rowOff>106680</xdr:rowOff>
    </xdr:to>
    <xdr:graphicFrame macro="">
      <xdr:nvGraphicFramePr>
        <xdr:cNvPr id="15" name="Chart 14">
          <a:extLst>
            <a:ext uri="{FF2B5EF4-FFF2-40B4-BE49-F238E27FC236}">
              <a16:creationId xmlns:a16="http://schemas.microsoft.com/office/drawing/2014/main" id="{803C00B0-71B9-4B89-B86A-803B6F33B0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133350</xdr:colOff>
      <xdr:row>21</xdr:row>
      <xdr:rowOff>125730</xdr:rowOff>
    </xdr:from>
    <xdr:to>
      <xdr:col>25</xdr:col>
      <xdr:colOff>438150</xdr:colOff>
      <xdr:row>35</xdr:row>
      <xdr:rowOff>118110</xdr:rowOff>
    </xdr:to>
    <xdr:graphicFrame macro="">
      <xdr:nvGraphicFramePr>
        <xdr:cNvPr id="17" name="Chart 16">
          <a:extLst>
            <a:ext uri="{FF2B5EF4-FFF2-40B4-BE49-F238E27FC236}">
              <a16:creationId xmlns:a16="http://schemas.microsoft.com/office/drawing/2014/main" id="{575EF89D-74EB-4511-9FFE-9C61AE3A0B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25</xdr:col>
      <xdr:colOff>472440</xdr:colOff>
      <xdr:row>6</xdr:row>
      <xdr:rowOff>114300</xdr:rowOff>
    </xdr:from>
    <xdr:to>
      <xdr:col>29</xdr:col>
      <xdr:colOff>7620</xdr:colOff>
      <xdr:row>16</xdr:row>
      <xdr:rowOff>114300</xdr:rowOff>
    </xdr:to>
    <mc:AlternateContent xmlns:mc="http://schemas.openxmlformats.org/markup-compatibility/2006" xmlns:a14="http://schemas.microsoft.com/office/drawing/2010/main">
      <mc:Choice Requires="a14">
        <xdr:graphicFrame macro="">
          <xdr:nvGraphicFramePr>
            <xdr:cNvPr id="3" name="Session Preference">
              <a:extLst>
                <a:ext uri="{FF2B5EF4-FFF2-40B4-BE49-F238E27FC236}">
                  <a16:creationId xmlns:a16="http://schemas.microsoft.com/office/drawing/2014/main" id="{73BDE937-B246-4EFB-AE75-C9ABB8A43630}"/>
                </a:ext>
              </a:extLst>
            </xdr:cNvPr>
            <xdr:cNvGraphicFramePr/>
          </xdr:nvGraphicFramePr>
          <xdr:xfrm>
            <a:off x="0" y="0"/>
            <a:ext cx="0" cy="0"/>
          </xdr:xfrm>
          <a:graphic>
            <a:graphicData uri="http://schemas.microsoft.com/office/drawing/2010/slicer">
              <sle:slicer xmlns:sle="http://schemas.microsoft.com/office/drawing/2010/slicer" name="Session Preference"/>
            </a:graphicData>
          </a:graphic>
        </xdr:graphicFrame>
      </mc:Choice>
      <mc:Fallback xmlns="">
        <xdr:sp macro="" textlink="">
          <xdr:nvSpPr>
            <xdr:cNvPr id="0" name=""/>
            <xdr:cNvSpPr>
              <a:spLocks noTextEdit="1"/>
            </xdr:cNvSpPr>
          </xdr:nvSpPr>
          <xdr:spPr>
            <a:xfrm>
              <a:off x="15817215" y="1200150"/>
              <a:ext cx="1973580" cy="1809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472440</xdr:colOff>
      <xdr:row>16</xdr:row>
      <xdr:rowOff>123825</xdr:rowOff>
    </xdr:from>
    <xdr:to>
      <xdr:col>29</xdr:col>
      <xdr:colOff>7620</xdr:colOff>
      <xdr:row>26</xdr:row>
      <xdr:rowOff>118109</xdr:rowOff>
    </xdr:to>
    <mc:AlternateContent xmlns:mc="http://schemas.openxmlformats.org/markup-compatibility/2006" xmlns:a14="http://schemas.microsoft.com/office/drawing/2010/main">
      <mc:Choice Requires="a14">
        <xdr:graphicFrame macro="">
          <xdr:nvGraphicFramePr>
            <xdr:cNvPr id="4" name="Attendance Type">
              <a:extLst>
                <a:ext uri="{FF2B5EF4-FFF2-40B4-BE49-F238E27FC236}">
                  <a16:creationId xmlns:a16="http://schemas.microsoft.com/office/drawing/2014/main" id="{6250222D-00DB-4CE1-81E1-8D7FEBEB25EB}"/>
                </a:ext>
              </a:extLst>
            </xdr:cNvPr>
            <xdr:cNvGraphicFramePr/>
          </xdr:nvGraphicFramePr>
          <xdr:xfrm>
            <a:off x="0" y="0"/>
            <a:ext cx="0" cy="0"/>
          </xdr:xfrm>
          <a:graphic>
            <a:graphicData uri="http://schemas.microsoft.com/office/drawing/2010/slicer">
              <sle:slicer xmlns:sle="http://schemas.microsoft.com/office/drawing/2010/slicer" name="Attendance Type"/>
            </a:graphicData>
          </a:graphic>
        </xdr:graphicFrame>
      </mc:Choice>
      <mc:Fallback xmlns="">
        <xdr:sp macro="" textlink="">
          <xdr:nvSpPr>
            <xdr:cNvPr id="0" name=""/>
            <xdr:cNvSpPr>
              <a:spLocks noTextEdit="1"/>
            </xdr:cNvSpPr>
          </xdr:nvSpPr>
          <xdr:spPr>
            <a:xfrm>
              <a:off x="15817215" y="3019425"/>
              <a:ext cx="1973580" cy="18040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472440</xdr:colOff>
      <xdr:row>26</xdr:row>
      <xdr:rowOff>142875</xdr:rowOff>
    </xdr:from>
    <xdr:to>
      <xdr:col>29</xdr:col>
      <xdr:colOff>0</xdr:colOff>
      <xdr:row>35</xdr:row>
      <xdr:rowOff>60960</xdr:rowOff>
    </xdr:to>
    <mc:AlternateContent xmlns:mc="http://schemas.openxmlformats.org/markup-compatibility/2006" xmlns:tsle="http://schemas.microsoft.com/office/drawing/2012/timeslicer">
      <mc:Choice Requires="tsle">
        <xdr:graphicFrame macro="">
          <xdr:nvGraphicFramePr>
            <xdr:cNvPr id="5" name="Registration Date">
              <a:extLst>
                <a:ext uri="{FF2B5EF4-FFF2-40B4-BE49-F238E27FC236}">
                  <a16:creationId xmlns:a16="http://schemas.microsoft.com/office/drawing/2014/main" id="{787681A6-AD09-429B-B1A1-F6821F1CC028}"/>
                </a:ext>
              </a:extLst>
            </xdr:cNvPr>
            <xdr:cNvGraphicFramePr/>
          </xdr:nvGraphicFramePr>
          <xdr:xfrm>
            <a:off x="0" y="0"/>
            <a:ext cx="0" cy="0"/>
          </xdr:xfrm>
          <a:graphic>
            <a:graphicData uri="http://schemas.microsoft.com/office/drawing/2012/timeslicer">
              <tsle:timeslicer name="Registration Date"/>
            </a:graphicData>
          </a:graphic>
        </xdr:graphicFrame>
      </mc:Choice>
      <mc:Fallback xmlns="">
        <xdr:sp macro="" textlink="">
          <xdr:nvSpPr>
            <xdr:cNvPr id="0" name=""/>
            <xdr:cNvSpPr>
              <a:spLocks noTextEdit="1"/>
            </xdr:cNvSpPr>
          </xdr:nvSpPr>
          <xdr:spPr>
            <a:xfrm>
              <a:off x="15817215" y="4848225"/>
              <a:ext cx="1965960" cy="15468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0</xdr:colOff>
      <xdr:row>0</xdr:row>
      <xdr:rowOff>7620</xdr:rowOff>
    </xdr:from>
    <xdr:to>
      <xdr:col>29</xdr:col>
      <xdr:colOff>38100</xdr:colOff>
      <xdr:row>3</xdr:row>
      <xdr:rowOff>15240</xdr:rowOff>
    </xdr:to>
    <xdr:sp macro="" textlink="">
      <xdr:nvSpPr>
        <xdr:cNvPr id="6" name="Rectangle: Rounded Corners 5">
          <a:extLst>
            <a:ext uri="{FF2B5EF4-FFF2-40B4-BE49-F238E27FC236}">
              <a16:creationId xmlns:a16="http://schemas.microsoft.com/office/drawing/2014/main" id="{B45053E6-830E-80B8-7C0A-E00D2740EDBF}"/>
            </a:ext>
          </a:extLst>
        </xdr:cNvPr>
        <xdr:cNvSpPr/>
      </xdr:nvSpPr>
      <xdr:spPr>
        <a:xfrm>
          <a:off x="0" y="7620"/>
          <a:ext cx="17821275" cy="550545"/>
        </a:xfrm>
        <a:prstGeom prst="roundRect">
          <a:avLst>
            <a:gd name="adj" fmla="val 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609599</xdr:colOff>
      <xdr:row>0</xdr:row>
      <xdr:rowOff>53340</xdr:rowOff>
    </xdr:from>
    <xdr:to>
      <xdr:col>20</xdr:col>
      <xdr:colOff>333374</xdr:colOff>
      <xdr:row>2</xdr:row>
      <xdr:rowOff>152400</xdr:rowOff>
    </xdr:to>
    <xdr:sp macro="" textlink="">
      <xdr:nvSpPr>
        <xdr:cNvPr id="8" name="TextBox 7">
          <a:extLst>
            <a:ext uri="{FF2B5EF4-FFF2-40B4-BE49-F238E27FC236}">
              <a16:creationId xmlns:a16="http://schemas.microsoft.com/office/drawing/2014/main" id="{F04C4EA5-32D1-420B-4A35-1902F8EE6E39}"/>
            </a:ext>
          </a:extLst>
        </xdr:cNvPr>
        <xdr:cNvSpPr txBox="1"/>
      </xdr:nvSpPr>
      <xdr:spPr>
        <a:xfrm>
          <a:off x="5591174" y="53340"/>
          <a:ext cx="7038975" cy="46101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a:t>EVENT DASHBOARD</a:t>
          </a:r>
        </a:p>
      </xdr:txBody>
    </xdr:sp>
    <xdr:clientData/>
  </xdr:twoCellAnchor>
  <mc:AlternateContent xmlns:mc="http://schemas.openxmlformats.org/markup-compatibility/2006">
    <mc:Choice xmlns:a14="http://schemas.microsoft.com/office/drawing/2010/main" Requires="a14">
      <xdr:twoCellAnchor>
        <xdr:from>
          <xdr:col>22</xdr:col>
          <xdr:colOff>403860</xdr:colOff>
          <xdr:row>3</xdr:row>
          <xdr:rowOff>137160</xdr:rowOff>
        </xdr:from>
        <xdr:to>
          <xdr:col>25</xdr:col>
          <xdr:colOff>449580</xdr:colOff>
          <xdr:row>6</xdr:row>
          <xdr:rowOff>30480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KK" refreshedDate="45745.896330555559" createdVersion="8" refreshedVersion="8" minRefreshableVersion="3" recordCount="100" xr:uid="{925B72D0-E421-45BC-A775-DDB701D1C237}">
  <cacheSource type="worksheet">
    <worksheetSource ref="A1:H101" sheet="Event_Data"/>
  </cacheSource>
  <cacheFields count="11">
    <cacheField name="ID" numFmtId="0">
      <sharedItems/>
    </cacheField>
    <cacheField name="Name" numFmtId="0">
      <sharedItems/>
    </cacheField>
    <cacheField name="Email" numFmtId="0">
      <sharedItems/>
    </cacheField>
    <cacheField name="Registration Date" numFmtId="164">
      <sharedItems containsSemiMixedTypes="0" containsNonDate="0" containsDate="1" containsString="0" minDate="2023-01-11T00:00:00" maxDate="2025-01-01T00:00:00" count="95">
        <d v="2023-01-11T00:00:00"/>
        <d v="2023-01-15T00:00:00"/>
        <d v="2023-01-17T00:00:00"/>
        <d v="2023-02-05T00:00:00"/>
        <d v="2023-02-09T00:00:00"/>
        <d v="2023-02-14T00:00:00"/>
        <d v="2023-02-18T00:00:00"/>
        <d v="2023-02-19T00:00:00"/>
        <d v="2023-02-21T00:00:00"/>
        <d v="2023-02-22T00:00:00"/>
        <d v="2023-02-25T00:00:00"/>
        <d v="2023-03-14T00:00:00"/>
        <d v="2023-04-03T00:00:00"/>
        <d v="2023-04-10T00:00:00"/>
        <d v="2023-04-12T00:00:00"/>
        <d v="2023-04-20T00:00:00"/>
        <d v="2023-04-24T00:00:00"/>
        <d v="2023-04-25T00:00:00"/>
        <d v="2023-05-02T00:00:00"/>
        <d v="2023-05-25T00:00:00"/>
        <d v="2023-05-26T00:00:00"/>
        <d v="2023-06-17T00:00:00"/>
        <d v="2023-06-24T00:00:00"/>
        <d v="2023-07-06T00:00:00"/>
        <d v="2023-07-07T00:00:00"/>
        <d v="2023-07-24T00:00:00"/>
        <d v="2023-07-26T00:00:00"/>
        <d v="2023-07-31T00:00:00"/>
        <d v="2023-08-04T00:00:00"/>
        <d v="2023-08-17T00:00:00"/>
        <d v="2023-09-09T00:00:00"/>
        <d v="2023-09-11T00:00:00"/>
        <d v="2023-09-30T00:00:00"/>
        <d v="2023-10-14T00:00:00"/>
        <d v="2023-10-16T00:00:00"/>
        <d v="2023-10-25T00:00:00"/>
        <d v="2023-10-31T00:00:00"/>
        <d v="2023-11-03T00:00:00"/>
        <d v="2023-11-30T00:00:00"/>
        <d v="2023-12-03T00:00:00"/>
        <d v="2023-12-09T00:00:00"/>
        <d v="2024-01-08T00:00:00"/>
        <d v="2024-01-16T00:00:00"/>
        <d v="2024-01-22T00:00:00"/>
        <d v="2024-01-24T00:00:00"/>
        <d v="2024-01-31T00:00:00"/>
        <d v="2024-02-08T00:00:00"/>
        <d v="2024-02-09T00:00:00"/>
        <d v="2024-02-11T00:00:00"/>
        <d v="2024-02-16T00:00:00"/>
        <d v="2024-02-21T00:00:00"/>
        <d v="2024-02-23T00:00:00"/>
        <d v="2024-02-27T00:00:00"/>
        <d v="2024-02-28T00:00:00"/>
        <d v="2024-03-02T00:00:00"/>
        <d v="2024-03-17T00:00:00"/>
        <d v="2024-03-22T00:00:00"/>
        <d v="2024-03-24T00:00:00"/>
        <d v="2024-04-09T00:00:00"/>
        <d v="2024-04-17T00:00:00"/>
        <d v="2024-04-28T00:00:00"/>
        <d v="2024-05-04T00:00:00"/>
        <d v="2024-05-13T00:00:00"/>
        <d v="2024-05-25T00:00:00"/>
        <d v="2024-06-13T00:00:00"/>
        <d v="2024-06-16T00:00:00"/>
        <d v="2024-06-18T00:00:00"/>
        <d v="2024-06-23T00:00:00"/>
        <d v="2024-06-27T00:00:00"/>
        <d v="2024-06-28T00:00:00"/>
        <d v="2024-07-01T00:00:00"/>
        <d v="2024-07-03T00:00:00"/>
        <d v="2024-07-11T00:00:00"/>
        <d v="2024-08-02T00:00:00"/>
        <d v="2024-08-09T00:00:00"/>
        <d v="2024-08-14T00:00:00"/>
        <d v="2024-08-22T00:00:00"/>
        <d v="2024-08-26T00:00:00"/>
        <d v="2024-08-29T00:00:00"/>
        <d v="2024-08-30T00:00:00"/>
        <d v="2024-09-25T00:00:00"/>
        <d v="2024-09-27T00:00:00"/>
        <d v="2024-10-01T00:00:00"/>
        <d v="2024-10-06T00:00:00"/>
        <d v="2024-10-16T00:00:00"/>
        <d v="2024-10-23T00:00:00"/>
        <d v="2024-10-25T00:00:00"/>
        <d v="2024-10-28T00:00:00"/>
        <d v="2024-11-02T00:00:00"/>
        <d v="2024-11-09T00:00:00"/>
        <d v="2024-11-13T00:00:00"/>
        <d v="2024-12-14T00:00:00"/>
        <d v="2024-12-20T00:00:00"/>
        <d v="2024-12-26T00:00:00"/>
        <d v="2024-12-31T00:00:00"/>
      </sharedItems>
      <fieldGroup par="10"/>
    </cacheField>
    <cacheField name="Session Preference" numFmtId="0">
      <sharedItems count="3">
        <s v="Marketing"/>
        <s v="Leadership"/>
        <s v="Technology"/>
      </sharedItems>
    </cacheField>
    <cacheField name="Ticket Price" numFmtId="165">
      <sharedItems containsSemiMixedTypes="0" containsString="0" containsNumber="1" containsInteger="1" minValue="240" maxValue="280"/>
    </cacheField>
    <cacheField name="Attendance Type" numFmtId="0">
      <sharedItems count="2">
        <s v="In-Person"/>
        <s v="Online"/>
      </sharedItems>
    </cacheField>
    <cacheField name="Dietary Preference" numFmtId="0">
      <sharedItems/>
    </cacheField>
    <cacheField name="Months (Registration Date)" numFmtId="0" databaseField="0">
      <fieldGroup base="3">
        <rangePr groupBy="months" startDate="2023-01-11T00:00:00" endDate="2025-01-01T00:00:00"/>
        <groupItems count="14">
          <s v="&lt;11-01-2023"/>
          <s v="Jan"/>
          <s v="Feb"/>
          <s v="Mar"/>
          <s v="Apr"/>
          <s v="May"/>
          <s v="Jun"/>
          <s v="Jul"/>
          <s v="Aug"/>
          <s v="Sep"/>
          <s v="Oct"/>
          <s v="Nov"/>
          <s v="Dec"/>
          <s v="&gt;01-01-2025"/>
        </groupItems>
      </fieldGroup>
    </cacheField>
    <cacheField name="Quarters (Registration Date)" numFmtId="0" databaseField="0">
      <fieldGroup base="3">
        <rangePr groupBy="quarters" startDate="2023-01-11T00:00:00" endDate="2025-01-01T00:00:00"/>
        <groupItems count="6">
          <s v="&lt;11-01-2023"/>
          <s v="Qtr1"/>
          <s v="Qtr2"/>
          <s v="Qtr3"/>
          <s v="Qtr4"/>
          <s v="&gt;01-01-2025"/>
        </groupItems>
      </fieldGroup>
    </cacheField>
    <cacheField name="Years (Registration Date)" numFmtId="0" databaseField="0">
      <fieldGroup base="3">
        <rangePr groupBy="years" startDate="2023-01-11T00:00:00" endDate="2025-01-01T00:00:00"/>
        <groupItems count="5">
          <s v="&lt;11-01-2023"/>
          <s v="2023"/>
          <s v="2024"/>
          <s v="2025"/>
          <s v="&gt;01-01-2025"/>
        </groupItems>
      </fieldGroup>
    </cacheField>
  </cacheFields>
  <extLst>
    <ext xmlns:x14="http://schemas.microsoft.com/office/spreadsheetml/2009/9/main" uri="{725AE2AE-9491-48be-B2B4-4EB974FC3084}">
      <x14:pivotCacheDefinition pivotCacheId="14846150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A0001"/>
    <s v="Joshua Stephens"/>
    <s v="erin02@robinson-moody.biz"/>
    <x v="0"/>
    <x v="0"/>
    <n v="240"/>
    <x v="0"/>
    <s v="Gluten-Free"/>
  </r>
  <r>
    <s v="A0002"/>
    <s v="Matthew Ayala"/>
    <s v="carla47@boyer.com"/>
    <x v="1"/>
    <x v="1"/>
    <n v="270"/>
    <x v="1"/>
    <s v="Non-Vegetarian"/>
  </r>
  <r>
    <s v="A0003"/>
    <s v="Rodney Jones"/>
    <s v="vaughncaleb@yahoo.com"/>
    <x v="2"/>
    <x v="0"/>
    <n v="240"/>
    <x v="1"/>
    <s v="Vegetarian"/>
  </r>
  <r>
    <s v="A0004"/>
    <s v="Amber Vargas"/>
    <s v="mkeller@miller-evans.com"/>
    <x v="3"/>
    <x v="0"/>
    <n v="240"/>
    <x v="0"/>
    <s v="Non-Vegetarian"/>
  </r>
  <r>
    <s v="A0005"/>
    <s v="Nicole Norris"/>
    <s v="nmorris@yahoo.com"/>
    <x v="4"/>
    <x v="1"/>
    <n v="270"/>
    <x v="0"/>
    <s v="Vegan"/>
  </r>
  <r>
    <s v="A0006"/>
    <s v="Kayla Burns"/>
    <s v="anthony24@schmidt.biz"/>
    <x v="5"/>
    <x v="2"/>
    <n v="280"/>
    <x v="1"/>
    <s v="Vegetarian"/>
  </r>
  <r>
    <s v="A0007"/>
    <s v="Kimberly Anderson"/>
    <s v="jenniferclark@yahoo.com"/>
    <x v="6"/>
    <x v="1"/>
    <n v="270"/>
    <x v="1"/>
    <s v="Vegan"/>
  </r>
  <r>
    <s v="A0008"/>
    <s v="William Pierce"/>
    <s v="hoffmancraig@mckenzie.com"/>
    <x v="7"/>
    <x v="1"/>
    <n v="270"/>
    <x v="0"/>
    <s v="Vegetarian"/>
  </r>
  <r>
    <s v="A0009"/>
    <s v="Dustin Bird"/>
    <s v="cantuscott@wilson.com"/>
    <x v="8"/>
    <x v="1"/>
    <n v="270"/>
    <x v="1"/>
    <s v="Non-Vegetarian"/>
  </r>
  <r>
    <s v="A0010"/>
    <s v="Michaela Mendoza"/>
    <s v="klinecarlos@gmail.com"/>
    <x v="9"/>
    <x v="0"/>
    <n v="240"/>
    <x v="0"/>
    <s v="Gluten-Free"/>
  </r>
  <r>
    <s v="A0011"/>
    <s v="Bryan Hamilton"/>
    <s v="antonio90@yahoo.com"/>
    <x v="10"/>
    <x v="2"/>
    <n v="280"/>
    <x v="1"/>
    <s v="Vegan"/>
  </r>
  <r>
    <s v="A0012"/>
    <s v="Katherine Lewis"/>
    <s v="michaelcole@gmail.com"/>
    <x v="11"/>
    <x v="2"/>
    <n v="280"/>
    <x v="0"/>
    <s v="Vegetarian"/>
  </r>
  <r>
    <s v="A0013"/>
    <s v="Heather Rivera"/>
    <s v="stacy40@gmail.com"/>
    <x v="12"/>
    <x v="1"/>
    <n v="270"/>
    <x v="1"/>
    <s v="Vegan"/>
  </r>
  <r>
    <s v="A0014"/>
    <s v="Kim Williams"/>
    <s v="bradleymelissa@hotmail.com"/>
    <x v="13"/>
    <x v="0"/>
    <n v="240"/>
    <x v="0"/>
    <s v="Vegan"/>
  </r>
  <r>
    <s v="A0015"/>
    <s v="Jacob Benton"/>
    <s v="nathan01@costa-thomas.info"/>
    <x v="14"/>
    <x v="0"/>
    <n v="240"/>
    <x v="0"/>
    <s v="Non-Vegetarian"/>
  </r>
  <r>
    <s v="A0016"/>
    <s v="Amy Miller"/>
    <s v="susan21@yahoo.com"/>
    <x v="15"/>
    <x v="0"/>
    <n v="240"/>
    <x v="1"/>
    <s v="Vegetarian"/>
  </r>
  <r>
    <s v="A0017"/>
    <s v="Linda White"/>
    <s v="nancy35@yahoo.com"/>
    <x v="16"/>
    <x v="0"/>
    <n v="240"/>
    <x v="1"/>
    <s v="Gluten-Free"/>
  </r>
  <r>
    <s v="A0018"/>
    <s v="Shannon Bradford"/>
    <s v="ewhite@gmail.com"/>
    <x v="17"/>
    <x v="0"/>
    <n v="240"/>
    <x v="0"/>
    <s v="Gluten-Free"/>
  </r>
  <r>
    <s v="A0019"/>
    <s v="Laurie Scott"/>
    <s v="ashley48@roberts-osborne.com"/>
    <x v="18"/>
    <x v="0"/>
    <n v="240"/>
    <x v="0"/>
    <s v="Gluten-Free"/>
  </r>
  <r>
    <s v="A0020"/>
    <s v="Nathan Gonzales"/>
    <s v="isaiahbuckley@yahoo.com"/>
    <x v="19"/>
    <x v="1"/>
    <n v="270"/>
    <x v="1"/>
    <s v="Non-Vegetarian"/>
  </r>
  <r>
    <s v="A0021"/>
    <s v="Robert Parks"/>
    <s v="sreynolds@anderson.com"/>
    <x v="20"/>
    <x v="2"/>
    <n v="280"/>
    <x v="1"/>
    <s v="Non-Vegetarian"/>
  </r>
  <r>
    <s v="A0022"/>
    <s v="Curtis Ortiz"/>
    <s v="justinlopez@yahoo.com"/>
    <x v="21"/>
    <x v="1"/>
    <n v="270"/>
    <x v="0"/>
    <s v="Non-Vegetarian"/>
  </r>
  <r>
    <s v="A0023"/>
    <s v="Julia Brown"/>
    <s v="gonzalesjames@gmail.com"/>
    <x v="22"/>
    <x v="2"/>
    <n v="280"/>
    <x v="1"/>
    <s v="Gluten-Free"/>
  </r>
  <r>
    <s v="A0024"/>
    <s v="Jennifer Bell"/>
    <s v="eatonlauren@yahoo.com"/>
    <x v="23"/>
    <x v="2"/>
    <n v="280"/>
    <x v="0"/>
    <s v="Non-Vegetarian"/>
  </r>
  <r>
    <s v="A0025"/>
    <s v="Tina Carrillo"/>
    <s v="marygarcia@gutierrez-tyler.com"/>
    <x v="24"/>
    <x v="0"/>
    <n v="240"/>
    <x v="1"/>
    <s v="Gluten-Free"/>
  </r>
  <r>
    <s v="A0026"/>
    <s v="Lydia Mcdonald"/>
    <s v="peggyfriedman@yahoo.com"/>
    <x v="25"/>
    <x v="0"/>
    <n v="240"/>
    <x v="0"/>
    <s v="Non-Vegetarian"/>
  </r>
  <r>
    <s v="A0027"/>
    <s v="Cody Parker"/>
    <s v="xdeleon@reynolds-smith.com"/>
    <x v="26"/>
    <x v="1"/>
    <n v="270"/>
    <x v="1"/>
    <s v="Vegan"/>
  </r>
  <r>
    <s v="A0028"/>
    <s v="Stephanie Davis"/>
    <s v="james41@jackson.com"/>
    <x v="27"/>
    <x v="1"/>
    <n v="270"/>
    <x v="0"/>
    <s v="Non-Vegetarian"/>
  </r>
  <r>
    <s v="A0029"/>
    <s v="Sarah Day"/>
    <s v="antonio31@suarez.com"/>
    <x v="28"/>
    <x v="2"/>
    <n v="280"/>
    <x v="0"/>
    <s v="Non-Vegetarian"/>
  </r>
  <r>
    <s v="A0030"/>
    <s v="Tina Williams"/>
    <s v="bmoore@gmail.com"/>
    <x v="29"/>
    <x v="1"/>
    <n v="270"/>
    <x v="0"/>
    <s v="Gluten-Free"/>
  </r>
  <r>
    <s v="A0031"/>
    <s v="Darin Hampton"/>
    <s v="bthornton@tran.com"/>
    <x v="29"/>
    <x v="1"/>
    <n v="270"/>
    <x v="1"/>
    <s v="Gluten-Free"/>
  </r>
  <r>
    <s v="A0032"/>
    <s v="Elizabeth Orozco"/>
    <s v="pamelagonzalez@rodriguez.com"/>
    <x v="30"/>
    <x v="1"/>
    <n v="270"/>
    <x v="0"/>
    <s v="Gluten-Free"/>
  </r>
  <r>
    <s v="A0033"/>
    <s v="James Kane"/>
    <s v="deanmolly@hall.com"/>
    <x v="31"/>
    <x v="2"/>
    <n v="280"/>
    <x v="0"/>
    <s v="Vegetarian"/>
  </r>
  <r>
    <s v="A0034"/>
    <s v="Barbara Dominguez"/>
    <s v="volson@jones-watts.com"/>
    <x v="32"/>
    <x v="0"/>
    <n v="240"/>
    <x v="1"/>
    <s v="Gluten-Free"/>
  </r>
  <r>
    <s v="A0035"/>
    <s v="Oscar Fowler"/>
    <s v="uhayden@yahoo.com"/>
    <x v="33"/>
    <x v="0"/>
    <n v="240"/>
    <x v="1"/>
    <s v="Vegan"/>
  </r>
  <r>
    <s v="A0036"/>
    <s v="Tammy Brown"/>
    <s v="brittany10@williams-smith.com"/>
    <x v="34"/>
    <x v="1"/>
    <n v="270"/>
    <x v="1"/>
    <s v="Vegetarian"/>
  </r>
  <r>
    <s v="A0037"/>
    <s v="Veronica Wall"/>
    <s v="riggsjeffrey@jackson.com"/>
    <x v="35"/>
    <x v="2"/>
    <n v="280"/>
    <x v="0"/>
    <s v="Vegan"/>
  </r>
  <r>
    <s v="A0038"/>
    <s v="Lisa Green"/>
    <s v="anthony55@gmail.com"/>
    <x v="36"/>
    <x v="0"/>
    <n v="240"/>
    <x v="0"/>
    <s v="Vegetarian"/>
  </r>
  <r>
    <s v="A0039"/>
    <s v="Carlos Ray"/>
    <s v="matthewhayes@gibson-tucker.org"/>
    <x v="37"/>
    <x v="0"/>
    <n v="240"/>
    <x v="0"/>
    <s v="Non-Vegetarian"/>
  </r>
  <r>
    <s v="A0040"/>
    <s v="Bethany Evans"/>
    <s v="simsjoseph@yahoo.com"/>
    <x v="38"/>
    <x v="1"/>
    <n v="270"/>
    <x v="1"/>
    <s v="Vegetarian"/>
  </r>
  <r>
    <s v="A0041"/>
    <s v="James Heath"/>
    <s v="morganstacy@chavez.info"/>
    <x v="39"/>
    <x v="0"/>
    <n v="240"/>
    <x v="1"/>
    <s v="Non-Vegetarian"/>
  </r>
  <r>
    <s v="A0042"/>
    <s v="Neil Lester"/>
    <s v="miguelkim@harrington.com"/>
    <x v="40"/>
    <x v="2"/>
    <n v="280"/>
    <x v="1"/>
    <s v="Gluten-Free"/>
  </r>
  <r>
    <s v="A0043"/>
    <s v="Raven Cruz"/>
    <s v="trevor71@gmail.com"/>
    <x v="41"/>
    <x v="1"/>
    <n v="270"/>
    <x v="0"/>
    <s v="Non-Vegetarian"/>
  </r>
  <r>
    <s v="A0044"/>
    <s v="Dawn Ruiz"/>
    <s v="ballcourtney@yahoo.com"/>
    <x v="42"/>
    <x v="0"/>
    <n v="240"/>
    <x v="0"/>
    <s v="Vegetarian"/>
  </r>
  <r>
    <s v="A0045"/>
    <s v="Bethany Turner"/>
    <s v="johnbullock@hotmail.com"/>
    <x v="43"/>
    <x v="0"/>
    <n v="240"/>
    <x v="0"/>
    <s v="Non-Vegetarian"/>
  </r>
  <r>
    <s v="A0046"/>
    <s v="Andrew Becker"/>
    <s v="jeffreyshepherd@yahoo.com"/>
    <x v="43"/>
    <x v="0"/>
    <n v="240"/>
    <x v="0"/>
    <s v="Vegan"/>
  </r>
  <r>
    <s v="A0047"/>
    <s v="Kimberly Saunders"/>
    <s v="mpetty@wood.org"/>
    <x v="44"/>
    <x v="1"/>
    <n v="270"/>
    <x v="0"/>
    <s v="Vegan"/>
  </r>
  <r>
    <s v="A0048"/>
    <s v="Scott Moore"/>
    <s v="paul42@gardner.biz"/>
    <x v="45"/>
    <x v="2"/>
    <n v="280"/>
    <x v="1"/>
    <s v="Vegetarian"/>
  </r>
  <r>
    <s v="A0049"/>
    <s v="Jacob Martinez"/>
    <s v="lindamckenzie@yahoo.com"/>
    <x v="45"/>
    <x v="1"/>
    <n v="270"/>
    <x v="0"/>
    <s v="Vegan"/>
  </r>
  <r>
    <s v="A0050"/>
    <s v="Rebecca Tate"/>
    <s v="millerfrank@gmail.com"/>
    <x v="46"/>
    <x v="1"/>
    <n v="270"/>
    <x v="1"/>
    <s v="Vegetarian"/>
  </r>
  <r>
    <s v="A0051"/>
    <s v="Timothy Butler"/>
    <s v="ujennings@day.biz"/>
    <x v="47"/>
    <x v="1"/>
    <n v="270"/>
    <x v="1"/>
    <s v="Vegetarian"/>
  </r>
  <r>
    <s v="A0052"/>
    <s v="Melissa Parker"/>
    <s v="nicoleflores@davis-hernandez.com"/>
    <x v="48"/>
    <x v="1"/>
    <n v="270"/>
    <x v="0"/>
    <s v="Vegetarian"/>
  </r>
  <r>
    <s v="A0053"/>
    <s v="Dylan Bowen"/>
    <s v="crystal98@smith.net"/>
    <x v="49"/>
    <x v="1"/>
    <n v="270"/>
    <x v="0"/>
    <s v="Gluten-Free"/>
  </r>
  <r>
    <s v="A0054"/>
    <s v="Carolyn Graves"/>
    <s v="brookenavarro@hotmail.com"/>
    <x v="50"/>
    <x v="0"/>
    <n v="240"/>
    <x v="0"/>
    <s v="Vegan"/>
  </r>
  <r>
    <s v="A0055"/>
    <s v="Patrick Cox"/>
    <s v="grant63@gmail.com"/>
    <x v="51"/>
    <x v="2"/>
    <n v="280"/>
    <x v="0"/>
    <s v="Non-Vegetarian"/>
  </r>
  <r>
    <s v="A0056"/>
    <s v="Gabrielle Jennings"/>
    <s v="william93@yahoo.com"/>
    <x v="52"/>
    <x v="1"/>
    <n v="270"/>
    <x v="1"/>
    <s v="Gluten-Free"/>
  </r>
  <r>
    <s v="A0057"/>
    <s v="Michelle Chavez"/>
    <s v="natalieclayton@contreras-reilly.org"/>
    <x v="53"/>
    <x v="1"/>
    <n v="270"/>
    <x v="0"/>
    <s v="Vegan"/>
  </r>
  <r>
    <s v="A0058"/>
    <s v="Sarah Lewis"/>
    <s v="williamramos@wood.com"/>
    <x v="53"/>
    <x v="0"/>
    <n v="240"/>
    <x v="0"/>
    <s v="Gluten-Free"/>
  </r>
  <r>
    <s v="A0059"/>
    <s v="Julie Santiago"/>
    <s v="jennifer57@wright.info"/>
    <x v="54"/>
    <x v="2"/>
    <n v="280"/>
    <x v="0"/>
    <s v="Vegetarian"/>
  </r>
  <r>
    <s v="A0060"/>
    <s v="James Hood"/>
    <s v="mary24@espinoza.com"/>
    <x v="54"/>
    <x v="0"/>
    <n v="240"/>
    <x v="0"/>
    <s v="Non-Vegetarian"/>
  </r>
  <r>
    <s v="A0061"/>
    <s v="Jeremy Hogan"/>
    <s v="njohnson@gray.net"/>
    <x v="55"/>
    <x v="0"/>
    <n v="240"/>
    <x v="1"/>
    <s v="Non-Vegetarian"/>
  </r>
  <r>
    <s v="A0062"/>
    <s v="Regina Zimmerman"/>
    <s v="martindarrell@todd.com"/>
    <x v="56"/>
    <x v="0"/>
    <n v="240"/>
    <x v="0"/>
    <s v="Vegetarian"/>
  </r>
  <r>
    <s v="A0063"/>
    <s v="Rebecca Chapman"/>
    <s v="sydneyhall@yahoo.com"/>
    <x v="57"/>
    <x v="1"/>
    <n v="270"/>
    <x v="0"/>
    <s v="Gluten-Free"/>
  </r>
  <r>
    <s v="A0064"/>
    <s v="Kimberly Forbes"/>
    <s v="blakeandrews@yahoo.com"/>
    <x v="58"/>
    <x v="2"/>
    <n v="280"/>
    <x v="1"/>
    <s v="Non-Vegetarian"/>
  </r>
  <r>
    <s v="A0065"/>
    <s v="Timothy Cook"/>
    <s v="livingstonrichard@yahoo.com"/>
    <x v="59"/>
    <x v="1"/>
    <n v="270"/>
    <x v="0"/>
    <s v="Vegan"/>
  </r>
  <r>
    <s v="A0066"/>
    <s v="Meagan Wheeler"/>
    <s v="rsmith@schmidt.com"/>
    <x v="60"/>
    <x v="1"/>
    <n v="270"/>
    <x v="1"/>
    <s v="Vegetarian"/>
  </r>
  <r>
    <s v="A0067"/>
    <s v="Nancy Lee"/>
    <s v="stephen94@hotmail.com"/>
    <x v="61"/>
    <x v="0"/>
    <n v="240"/>
    <x v="0"/>
    <s v="Vegetarian"/>
  </r>
  <r>
    <s v="A0068"/>
    <s v="Emily Williams"/>
    <s v="hpotts@yahoo.com"/>
    <x v="62"/>
    <x v="0"/>
    <n v="240"/>
    <x v="0"/>
    <s v="Vegetarian"/>
  </r>
  <r>
    <s v="A0069"/>
    <s v="Natasha Schmidt"/>
    <s v="mariopotts@burke.com"/>
    <x v="63"/>
    <x v="2"/>
    <n v="280"/>
    <x v="0"/>
    <s v="Gluten-Free"/>
  </r>
  <r>
    <s v="A0070"/>
    <s v="Sarah Pratt"/>
    <s v="srichards@gmail.com"/>
    <x v="64"/>
    <x v="0"/>
    <n v="240"/>
    <x v="0"/>
    <s v="Vegetarian"/>
  </r>
  <r>
    <s v="A0071"/>
    <s v="James Villarreal"/>
    <s v="henry03@obrien.net"/>
    <x v="65"/>
    <x v="0"/>
    <n v="240"/>
    <x v="1"/>
    <s v="Non-Vegetarian"/>
  </r>
  <r>
    <s v="A0072"/>
    <s v="Robert Roberts"/>
    <s v="milleralex@johnson.biz"/>
    <x v="66"/>
    <x v="2"/>
    <n v="280"/>
    <x v="0"/>
    <s v="Vegetarian"/>
  </r>
  <r>
    <s v="A0073"/>
    <s v="Gloria Ryan"/>
    <s v="michelemyers@hall-coleman.com"/>
    <x v="67"/>
    <x v="2"/>
    <n v="280"/>
    <x v="1"/>
    <s v="Non-Vegetarian"/>
  </r>
  <r>
    <s v="A0074"/>
    <s v="Christopher Burns"/>
    <s v="brianna75@hotmail.com"/>
    <x v="68"/>
    <x v="2"/>
    <n v="280"/>
    <x v="0"/>
    <s v="Vegetarian"/>
  </r>
  <r>
    <s v="A0075"/>
    <s v="Christopher Potts"/>
    <s v="cynthia21@foley.com"/>
    <x v="69"/>
    <x v="1"/>
    <n v="270"/>
    <x v="0"/>
    <s v="Vegetarian"/>
  </r>
  <r>
    <s v="A0076"/>
    <s v="David Williams"/>
    <s v="hollymeadows@davis-allison.net"/>
    <x v="70"/>
    <x v="2"/>
    <n v="280"/>
    <x v="0"/>
    <s v="Non-Vegetarian"/>
  </r>
  <r>
    <s v="A0077"/>
    <s v="Joan Foster"/>
    <s v="abrown@gmail.com"/>
    <x v="71"/>
    <x v="1"/>
    <n v="270"/>
    <x v="1"/>
    <s v="Gluten-Free"/>
  </r>
  <r>
    <s v="A0078"/>
    <s v="Isaac Deleon"/>
    <s v="michelleperry@day.com"/>
    <x v="72"/>
    <x v="2"/>
    <n v="280"/>
    <x v="0"/>
    <s v="Vegan"/>
  </r>
  <r>
    <s v="A0079"/>
    <s v="Laura Mueller"/>
    <s v="webbmegan@murray.com"/>
    <x v="73"/>
    <x v="1"/>
    <n v="270"/>
    <x v="1"/>
    <s v="Vegetarian"/>
  </r>
  <r>
    <s v="A0080"/>
    <s v="Patrick Farley"/>
    <s v="moyerduane@page.net"/>
    <x v="74"/>
    <x v="2"/>
    <n v="280"/>
    <x v="0"/>
    <s v="Vegetarian"/>
  </r>
  <r>
    <s v="A0081"/>
    <s v="Frank Stephens"/>
    <s v="amymalone@mayer-roberson.com"/>
    <x v="75"/>
    <x v="1"/>
    <n v="270"/>
    <x v="0"/>
    <s v="Non-Vegetarian"/>
  </r>
  <r>
    <s v="A0082"/>
    <s v="Alan Liu"/>
    <s v="wrangel@hotmail.com"/>
    <x v="76"/>
    <x v="0"/>
    <n v="240"/>
    <x v="0"/>
    <s v="Vegetarian"/>
  </r>
  <r>
    <s v="A0083"/>
    <s v="Debbie Bryant MD"/>
    <s v="kjohnson@yahoo.com"/>
    <x v="77"/>
    <x v="1"/>
    <n v="270"/>
    <x v="0"/>
    <s v="Gluten-Free"/>
  </r>
  <r>
    <s v="A0084"/>
    <s v="Felicia Parker"/>
    <s v="jeffreyrivera@watkins.com"/>
    <x v="78"/>
    <x v="2"/>
    <n v="280"/>
    <x v="1"/>
    <s v="Vegan"/>
  </r>
  <r>
    <s v="A0085"/>
    <s v="Tracy Frazier"/>
    <s v="michael45@yahoo.com"/>
    <x v="79"/>
    <x v="0"/>
    <n v="240"/>
    <x v="0"/>
    <s v="Vegan"/>
  </r>
  <r>
    <s v="A0086"/>
    <s v="Kevin Morrison"/>
    <s v="daviseric@gmail.com"/>
    <x v="80"/>
    <x v="1"/>
    <n v="270"/>
    <x v="0"/>
    <s v="Vegetarian"/>
  </r>
  <r>
    <s v="A0087"/>
    <s v="Mark Patterson"/>
    <s v="davenportrobert@johnson.biz"/>
    <x v="81"/>
    <x v="0"/>
    <n v="240"/>
    <x v="1"/>
    <s v="Non-Vegetarian"/>
  </r>
  <r>
    <s v="A0088"/>
    <s v="Carlos Patrick"/>
    <s v="devin54@carpenter.net"/>
    <x v="82"/>
    <x v="2"/>
    <n v="280"/>
    <x v="1"/>
    <s v="Vegetarian"/>
  </r>
  <r>
    <s v="A0089"/>
    <s v="Susan Johnson"/>
    <s v="larryewing@hotmail.com"/>
    <x v="83"/>
    <x v="2"/>
    <n v="280"/>
    <x v="0"/>
    <s v="Vegan"/>
  </r>
  <r>
    <s v="A0090"/>
    <s v="Colin Kramer"/>
    <s v="shawnoconnor@hotmail.com"/>
    <x v="84"/>
    <x v="0"/>
    <n v="240"/>
    <x v="1"/>
    <s v="Non-Vegetarian"/>
  </r>
  <r>
    <s v="A0091"/>
    <s v="Christopher Boyer"/>
    <s v="michaelunderwood@gmail.com"/>
    <x v="85"/>
    <x v="2"/>
    <n v="280"/>
    <x v="0"/>
    <s v="Vegan"/>
  </r>
  <r>
    <s v="A0092"/>
    <s v="Sharon George"/>
    <s v="kristina80@nichols.com"/>
    <x v="86"/>
    <x v="2"/>
    <n v="280"/>
    <x v="1"/>
    <s v="Non-Vegetarian"/>
  </r>
  <r>
    <s v="A0093"/>
    <s v="Richard Sawyer"/>
    <s v="stevenanderson@gmail.com"/>
    <x v="87"/>
    <x v="0"/>
    <n v="240"/>
    <x v="1"/>
    <s v="Vegan"/>
  </r>
  <r>
    <s v="A0094"/>
    <s v="Bradley Rodgers"/>
    <s v="jdunlap@gmail.com"/>
    <x v="88"/>
    <x v="0"/>
    <n v="240"/>
    <x v="0"/>
    <s v="Non-Vegetarian"/>
  </r>
  <r>
    <s v="A0095"/>
    <s v="Nicholas Moran"/>
    <s v="morgan12@yahoo.com"/>
    <x v="89"/>
    <x v="2"/>
    <n v="280"/>
    <x v="1"/>
    <s v="Gluten-Free"/>
  </r>
  <r>
    <s v="A0096"/>
    <s v="Judith Miller"/>
    <s v="zacharyroy@gmail.com"/>
    <x v="90"/>
    <x v="1"/>
    <n v="270"/>
    <x v="0"/>
    <s v="Vegetarian"/>
  </r>
  <r>
    <s v="A0097"/>
    <s v="Courtney Conner"/>
    <s v="matthewsjessica@stevens-baker.org"/>
    <x v="91"/>
    <x v="1"/>
    <n v="270"/>
    <x v="1"/>
    <s v="Gluten-Free"/>
  </r>
  <r>
    <s v="A0098"/>
    <s v="Bradley Griffin"/>
    <s v="john38@evans-johnson.com"/>
    <x v="92"/>
    <x v="2"/>
    <n v="280"/>
    <x v="1"/>
    <s v="Vegetarian"/>
  </r>
  <r>
    <s v="A0099"/>
    <s v="Edward Barker"/>
    <s v="courtney57@gmail.com"/>
    <x v="93"/>
    <x v="1"/>
    <n v="270"/>
    <x v="0"/>
    <s v="Non-Vegetarian"/>
  </r>
  <r>
    <s v="A0100"/>
    <s v="Emily Mcdonald"/>
    <s v="iwebb@mullins.com"/>
    <x v="94"/>
    <x v="0"/>
    <n v="240"/>
    <x v="0"/>
    <s v="Ve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D0E35B-E058-413D-A88B-4B6035B1D2E6}"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rowHeaderCaption="Attendance Type">
  <location ref="F18:G22" firstHeaderRow="1" firstDataRow="1" firstDataCol="1"/>
  <pivotFields count="11">
    <pivotField dataField="1" showAll="0"/>
    <pivotField showAll="0"/>
    <pivotField showAll="0"/>
    <pivotField numFmtId="164"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items count="4">
        <item h="1" x="1"/>
        <item x="0"/>
        <item h="1" x="2"/>
        <item t="default"/>
      </items>
    </pivotField>
    <pivotField numFmtId="165" showAll="0"/>
    <pivotField axis="axisRow" showAll="0">
      <items count="3">
        <item x="0"/>
        <item x="1"/>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5">
        <item h="1" sd="0" x="0"/>
        <item h="1" x="1"/>
        <item x="2"/>
        <item h="1" sd="0" x="3"/>
        <item h="1" sd="0" x="4"/>
      </items>
    </pivotField>
  </pivotFields>
  <rowFields count="2">
    <field x="10"/>
    <field x="6"/>
  </rowFields>
  <rowItems count="4">
    <i>
      <x v="2"/>
    </i>
    <i r="1">
      <x/>
    </i>
    <i r="1">
      <x v="1"/>
    </i>
    <i t="grand">
      <x/>
    </i>
  </rowItems>
  <colItems count="1">
    <i/>
  </colItems>
  <dataFields count="1">
    <dataField name="Attendance" fld="0" subtotal="count" baseField="0" baseItem="0"/>
  </dataFields>
  <chartFormats count="4">
    <chartFormat chart="1"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3">
          <reference field="4294967294" count="1" selected="0">
            <x v="0"/>
          </reference>
          <reference field="6" count="1" selected="0">
            <x v="0"/>
          </reference>
          <reference field="10" count="1" selected="0">
            <x v="2"/>
          </reference>
        </references>
      </pivotArea>
    </chartFormat>
    <chartFormat chart="3" format="6">
      <pivotArea type="data" outline="0" fieldPosition="0">
        <references count="3">
          <reference field="4294967294" count="1" selected="0">
            <x v="0"/>
          </reference>
          <reference field="6" count="1" selected="0">
            <x v="1"/>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DBBEF6-B66D-478F-BE3A-E6D6631A8ECB}"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rowHeaderCaption="Attendance Type">
  <location ref="F12:G16" firstHeaderRow="1" firstDataRow="1" firstDataCol="1"/>
  <pivotFields count="11">
    <pivotField dataField="1" showAll="0"/>
    <pivotField showAll="0"/>
    <pivotField showAll="0"/>
    <pivotField numFmtId="164"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items count="4">
        <item h="1" x="1"/>
        <item x="0"/>
        <item h="1" x="2"/>
        <item t="default"/>
      </items>
    </pivotField>
    <pivotField numFmtId="165" showAll="0"/>
    <pivotField axis="axisRow" showAll="0">
      <items count="3">
        <item x="0"/>
        <item x="1"/>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5">
        <item h="1" sd="0" x="0"/>
        <item x="1"/>
        <item h="1" x="2"/>
        <item h="1" sd="0" x="3"/>
        <item h="1" sd="0" x="4"/>
      </items>
    </pivotField>
  </pivotFields>
  <rowFields count="2">
    <field x="10"/>
    <field x="6"/>
  </rowFields>
  <rowItems count="4">
    <i>
      <x v="1"/>
    </i>
    <i r="1">
      <x/>
    </i>
    <i r="1">
      <x v="1"/>
    </i>
    <i t="grand">
      <x/>
    </i>
  </rowItems>
  <colItems count="1">
    <i/>
  </colItems>
  <dataFields count="1">
    <dataField name="Attendance" fld="0" subtotal="count" baseField="0" baseItem="0"/>
  </dataFields>
  <chartFormats count="3">
    <chartFormat chart="13" format="4" series="1">
      <pivotArea type="data" outline="0" fieldPosition="0">
        <references count="1">
          <reference field="4294967294" count="1" selected="0">
            <x v="0"/>
          </reference>
        </references>
      </pivotArea>
    </chartFormat>
    <chartFormat chart="13" format="5">
      <pivotArea type="data" outline="0" fieldPosition="0">
        <references count="3">
          <reference field="4294967294" count="1" selected="0">
            <x v="0"/>
          </reference>
          <reference field="6" count="1" selected="0">
            <x v="0"/>
          </reference>
          <reference field="10" count="1" selected="0">
            <x v="1"/>
          </reference>
        </references>
      </pivotArea>
    </chartFormat>
    <chartFormat chart="13" format="6">
      <pivotArea type="data" outline="0" fieldPosition="0">
        <references count="3">
          <reference field="4294967294" count="1" selected="0">
            <x v="0"/>
          </reference>
          <reference field="6" count="1" selected="0">
            <x v="1"/>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520BC9-6F9E-4DFB-AD57-FA24B24A2511}"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7" rowHeaderCaption="Session Preference">
  <location ref="F1:G6" firstHeaderRow="1" firstDataRow="1" firstDataCol="1"/>
  <pivotFields count="11">
    <pivotField showAll="0"/>
    <pivotField showAll="0"/>
    <pivotField showAll="0"/>
    <pivotField numFmtId="164"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axis="axisRow" showAll="0">
      <items count="4">
        <item h="1" x="1"/>
        <item x="0"/>
        <item h="1" x="2"/>
        <item t="default"/>
      </items>
    </pivotField>
    <pivotField dataField="1" numFmtId="165" showAll="0"/>
    <pivotField showAll="0">
      <items count="3">
        <item x="0"/>
        <item x="1"/>
        <item t="default"/>
      </items>
    </pivotField>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5">
        <item sd="0" x="0"/>
        <item x="1"/>
        <item x="2"/>
        <item sd="0" x="3"/>
        <item sd="0" x="4"/>
      </items>
    </pivotField>
  </pivotFields>
  <rowFields count="2">
    <field x="10"/>
    <field x="4"/>
  </rowFields>
  <rowItems count="5">
    <i>
      <x v="1"/>
    </i>
    <i r="1">
      <x v="1"/>
    </i>
    <i>
      <x v="2"/>
    </i>
    <i r="1">
      <x v="1"/>
    </i>
    <i t="grand">
      <x/>
    </i>
  </rowItems>
  <colItems count="1">
    <i/>
  </colItems>
  <dataFields count="1">
    <dataField name="Revenue" fld="5" baseField="0" baseItem="0" numFmtId="165"/>
  </dataFields>
  <chartFormats count="1">
    <chartFormat chart="4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78641B-EF7B-404B-8290-4EA8949EC82C}"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imeline">
  <location ref="A1:C28" firstHeaderRow="0" firstDataRow="1" firstDataCol="1"/>
  <pivotFields count="11">
    <pivotField dataField="1" showAll="0"/>
    <pivotField showAll="0"/>
    <pivotField showAll="0"/>
    <pivotField axis="axisRow" numFmtId="164"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pivotField dataField="1" numFmtId="165"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sd="0" x="0"/>
        <item x="1"/>
        <item x="2"/>
        <item sd="0" x="3"/>
        <item sd="0" x="4"/>
        <item t="default"/>
      </items>
    </pivotField>
  </pivotFields>
  <rowFields count="3">
    <field x="10"/>
    <field x="8"/>
    <field x="3"/>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2">
    <i>
      <x/>
    </i>
    <i i="1">
      <x v="1"/>
    </i>
  </colItems>
  <dataFields count="2">
    <dataField name="Registrations" fld="0" subtotal="count" baseField="0" baseItem="0"/>
    <dataField name="Revenue" fld="5"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_Preference" xr10:uid="{35E8064F-A70D-44E2-8BC0-7BFC545DA3B4}" sourceName="Session Preference">
  <pivotTables>
    <pivotTable tabId="15" name="PivotTable1"/>
    <pivotTable tabId="15" name="PivotTable2"/>
    <pivotTable tabId="15" name="PivotTable5"/>
  </pivotTables>
  <data>
    <tabular pivotCacheId="1484615057">
      <items count="3">
        <i x="1"/>
        <i x="0" s="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_Type" xr10:uid="{E95359B1-DE72-46CE-8701-420859095382}" sourceName="Attendance Type">
  <pivotTables>
    <pivotTable tabId="15" name="PivotTable1"/>
  </pivotTables>
  <data>
    <tabular pivotCacheId="1484615057">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ssion Preference" xr10:uid="{22D1E285-4851-4B1C-8876-E86070A0D660}" cache="Slicer_Session_Preference" caption="Session Preference" rowHeight="234950"/>
  <slicer name="Attendance Type" xr10:uid="{E5BC97EB-EC27-4CB6-A663-475314B8CECF}" cache="Slicer_Attendance_Type" caption="Attendance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C5B892-FA30-4040-8606-C9B8D88F83D1}" name="Table3" displayName="Table3" ref="A1:I5" totalsRowShown="0">
  <autoFilter ref="A1:I5" xr:uid="{57C5B892-FA30-4040-8606-C9B8D88F83D1}"/>
  <tableColumns count="9">
    <tableColumn id="1" xr3:uid="{A5C0EEA1-5339-40E7-93FC-C81D9D8AC3BC}" name="Timeline"/>
    <tableColumn id="2" xr3:uid="{B492D38B-2BB9-4F7A-93E2-A0A83BE4ADD8}" name="Registrations"/>
    <tableColumn id="3" xr3:uid="{539B3A97-92DA-40A6-99A0-F940DB419624}" name="Forecast"/>
    <tableColumn id="4" xr3:uid="{1A98DC40-F775-4838-B7FD-5F81E5A148F7}" name="Lower Confidence Bound" dataDxfId="5"/>
    <tableColumn id="5" xr3:uid="{3A0B1837-EEE5-4B4B-A17E-A68BE1ED4347}" name="Upper Confidence Bound" dataDxfId="4"/>
    <tableColumn id="6" xr3:uid="{53F3F52B-7D93-422C-AE87-02FE2E98F4AA}" name="Actual Revenue" dataDxfId="3"/>
    <tableColumn id="7" xr3:uid="{A6815B9E-9B13-4754-81BD-B24EB5BB3971}" name="Forecasted Revenue" dataDxfId="2"/>
    <tableColumn id="8" xr3:uid="{663C1C09-7BA5-4824-9E29-34DEDD96EC59}" name="Actual Profit" dataDxfId="1">
      <calculatedColumnFormula>F2 - (#REF! +#REF!)</calculatedColumnFormula>
    </tableColumn>
    <tableColumn id="9" xr3:uid="{27A1856D-7C15-42A4-9FBD-CF80EE8AA472}" name="Forecasted Profit"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gistration_Date" xr10:uid="{1E70E233-0ACE-4847-A7B2-C3AB8C3C1F38}" sourceName="Registration Date">
  <pivotTables>
    <pivotTable tabId="15" name="PivotTable1"/>
    <pivotTable tabId="15" name="PivotTable2"/>
    <pivotTable tabId="15" name="PivotTable5"/>
  </pivotTables>
  <state minimalRefreshVersion="6" lastRefreshVersion="6" pivotCacheId="1484615057" filterType="unknown">
    <bounds startDate="2023-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gistration Date" xr10:uid="{EE752D02-4507-45D4-86D9-212957F4AC76}" cache="NativeTimeline_Registration_Date" caption="Registration Date" level="2" selectionLevel="2" scrollPosition="2023-12-01T00:00:00"/>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DA6518D-6067-4D95-97F3-2E2214E95273}">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1/relationships/timeline" Target="../timelines/timelin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000"/>
  <sheetViews>
    <sheetView workbookViewId="0">
      <selection activeCell="F1" sqref="F1"/>
    </sheetView>
  </sheetViews>
  <sheetFormatPr defaultColWidth="14.44140625" defaultRowHeight="15" customHeight="1" x14ac:dyDescent="0.3"/>
  <cols>
    <col min="1" max="1" width="15" customWidth="1"/>
    <col min="2" max="2" width="16.33203125" customWidth="1"/>
    <col min="3" max="3" width="29.6640625" customWidth="1"/>
    <col min="4" max="4" width="19.33203125" style="6" customWidth="1"/>
    <col min="5" max="5" width="16.109375" customWidth="1"/>
    <col min="6" max="6" width="14.33203125" style="7" customWidth="1"/>
    <col min="7" max="7" width="14.6640625" customWidth="1"/>
    <col min="8" max="8" width="16" customWidth="1"/>
    <col min="9" max="26" width="8.6640625" customWidth="1"/>
  </cols>
  <sheetData>
    <row r="1" spans="1:8" ht="14.25" customHeight="1" x14ac:dyDescent="0.3">
      <c r="A1" s="1" t="s">
        <v>315</v>
      </c>
      <c r="B1" s="1" t="s">
        <v>0</v>
      </c>
      <c r="C1" s="1" t="s">
        <v>1</v>
      </c>
      <c r="D1" s="4" t="s">
        <v>5</v>
      </c>
      <c r="E1" s="1" t="s">
        <v>2</v>
      </c>
      <c r="F1" s="8" t="s">
        <v>326</v>
      </c>
      <c r="G1" s="1" t="s">
        <v>3</v>
      </c>
      <c r="H1" s="1" t="s">
        <v>4</v>
      </c>
    </row>
    <row r="2" spans="1:8" ht="14.25" customHeight="1" x14ac:dyDescent="0.3">
      <c r="A2" s="2" t="s">
        <v>6</v>
      </c>
      <c r="B2" s="2" t="s">
        <v>13</v>
      </c>
      <c r="C2" s="2" t="s">
        <v>14</v>
      </c>
      <c r="D2" s="5">
        <v>44937</v>
      </c>
      <c r="E2" s="2" t="s">
        <v>15</v>
      </c>
      <c r="F2" s="9">
        <v>240</v>
      </c>
      <c r="G2" s="2" t="s">
        <v>10</v>
      </c>
      <c r="H2" s="2" t="s">
        <v>16</v>
      </c>
    </row>
    <row r="3" spans="1:8" ht="14.25" customHeight="1" x14ac:dyDescent="0.3">
      <c r="A3" s="2" t="s">
        <v>12</v>
      </c>
      <c r="B3" s="2" t="s">
        <v>145</v>
      </c>
      <c r="C3" s="2" t="s">
        <v>146</v>
      </c>
      <c r="D3" s="5">
        <v>44941</v>
      </c>
      <c r="E3" s="2" t="s">
        <v>20</v>
      </c>
      <c r="F3" s="9">
        <v>270</v>
      </c>
      <c r="G3" s="2" t="s">
        <v>21</v>
      </c>
      <c r="H3" s="2" t="s">
        <v>38</v>
      </c>
    </row>
    <row r="4" spans="1:8" ht="14.25" customHeight="1" x14ac:dyDescent="0.3">
      <c r="A4" s="2" t="s">
        <v>17</v>
      </c>
      <c r="B4" s="2" t="s">
        <v>283</v>
      </c>
      <c r="C4" s="2" t="s">
        <v>284</v>
      </c>
      <c r="D4" s="5">
        <v>44943</v>
      </c>
      <c r="E4" s="2" t="s">
        <v>15</v>
      </c>
      <c r="F4" s="9">
        <v>240</v>
      </c>
      <c r="G4" s="2" t="s">
        <v>21</v>
      </c>
      <c r="H4" s="2" t="s">
        <v>11</v>
      </c>
    </row>
    <row r="5" spans="1:8" ht="14.25" customHeight="1" x14ac:dyDescent="0.3">
      <c r="A5" s="2" t="s">
        <v>22</v>
      </c>
      <c r="B5" s="2" t="s">
        <v>142</v>
      </c>
      <c r="C5" s="2" t="s">
        <v>143</v>
      </c>
      <c r="D5" s="5">
        <v>44962</v>
      </c>
      <c r="E5" s="2" t="s">
        <v>15</v>
      </c>
      <c r="F5" s="9">
        <v>240</v>
      </c>
      <c r="G5" s="2" t="s">
        <v>10</v>
      </c>
      <c r="H5" s="2" t="s">
        <v>38</v>
      </c>
    </row>
    <row r="6" spans="1:8" ht="14.25" customHeight="1" x14ac:dyDescent="0.3">
      <c r="A6" s="2" t="s">
        <v>25</v>
      </c>
      <c r="B6" s="2" t="s">
        <v>157</v>
      </c>
      <c r="C6" s="2" t="s">
        <v>158</v>
      </c>
      <c r="D6" s="5">
        <v>44966</v>
      </c>
      <c r="E6" s="2" t="s">
        <v>20</v>
      </c>
      <c r="F6" s="9">
        <v>270</v>
      </c>
      <c r="G6" s="2" t="s">
        <v>10</v>
      </c>
      <c r="H6" s="2" t="s">
        <v>28</v>
      </c>
    </row>
    <row r="7" spans="1:8" ht="14.25" customHeight="1" x14ac:dyDescent="0.3">
      <c r="A7" s="2" t="s">
        <v>29</v>
      </c>
      <c r="B7" s="2" t="s">
        <v>196</v>
      </c>
      <c r="C7" s="2" t="s">
        <v>197</v>
      </c>
      <c r="D7" s="5">
        <v>44971</v>
      </c>
      <c r="E7" s="2" t="s">
        <v>9</v>
      </c>
      <c r="F7" s="9">
        <v>280</v>
      </c>
      <c r="G7" s="2" t="s">
        <v>21</v>
      </c>
      <c r="H7" s="2" t="s">
        <v>11</v>
      </c>
    </row>
    <row r="8" spans="1:8" ht="14.25" customHeight="1" x14ac:dyDescent="0.3">
      <c r="A8" s="2" t="s">
        <v>32</v>
      </c>
      <c r="B8" s="2" t="s">
        <v>46</v>
      </c>
      <c r="C8" s="2" t="s">
        <v>47</v>
      </c>
      <c r="D8" s="5">
        <v>44975</v>
      </c>
      <c r="E8" s="2" t="s">
        <v>20</v>
      </c>
      <c r="F8" s="9">
        <v>270</v>
      </c>
      <c r="G8" s="2" t="s">
        <v>21</v>
      </c>
      <c r="H8" s="2" t="s">
        <v>28</v>
      </c>
    </row>
    <row r="9" spans="1:8" ht="14.25" customHeight="1" x14ac:dyDescent="0.3">
      <c r="A9" s="2" t="s">
        <v>35</v>
      </c>
      <c r="B9" s="2" t="s">
        <v>256</v>
      </c>
      <c r="C9" s="2" t="s">
        <v>257</v>
      </c>
      <c r="D9" s="5">
        <v>44976</v>
      </c>
      <c r="E9" s="2" t="s">
        <v>20</v>
      </c>
      <c r="F9" s="9">
        <v>270</v>
      </c>
      <c r="G9" s="2" t="s">
        <v>10</v>
      </c>
      <c r="H9" s="2" t="s">
        <v>11</v>
      </c>
    </row>
    <row r="10" spans="1:8" ht="14.25" customHeight="1" x14ac:dyDescent="0.3">
      <c r="A10" s="2" t="s">
        <v>39</v>
      </c>
      <c r="B10" s="2" t="s">
        <v>190</v>
      </c>
      <c r="C10" s="2" t="s">
        <v>191</v>
      </c>
      <c r="D10" s="5">
        <v>44978</v>
      </c>
      <c r="E10" s="2" t="s">
        <v>20</v>
      </c>
      <c r="F10" s="9">
        <v>270</v>
      </c>
      <c r="G10" s="2" t="s">
        <v>21</v>
      </c>
      <c r="H10" s="2" t="s">
        <v>38</v>
      </c>
    </row>
    <row r="11" spans="1:8" ht="14.25" customHeight="1" x14ac:dyDescent="0.3">
      <c r="A11" s="2" t="s">
        <v>42</v>
      </c>
      <c r="B11" s="2" t="s">
        <v>184</v>
      </c>
      <c r="C11" s="2" t="s">
        <v>185</v>
      </c>
      <c r="D11" s="5">
        <v>44979</v>
      </c>
      <c r="E11" s="2" t="s">
        <v>15</v>
      </c>
      <c r="F11" s="9">
        <v>240</v>
      </c>
      <c r="G11" s="2" t="s">
        <v>10</v>
      </c>
      <c r="H11" s="2" t="s">
        <v>16</v>
      </c>
    </row>
    <row r="12" spans="1:8" ht="14.25" customHeight="1" x14ac:dyDescent="0.3">
      <c r="A12" s="2" t="s">
        <v>45</v>
      </c>
      <c r="B12" s="2" t="s">
        <v>26</v>
      </c>
      <c r="C12" s="2" t="s">
        <v>27</v>
      </c>
      <c r="D12" s="5">
        <v>44982</v>
      </c>
      <c r="E12" s="2" t="s">
        <v>9</v>
      </c>
      <c r="F12" s="9">
        <v>280</v>
      </c>
      <c r="G12" s="2" t="s">
        <v>21</v>
      </c>
      <c r="H12" s="2" t="s">
        <v>28</v>
      </c>
    </row>
    <row r="13" spans="1:8" ht="14.25" customHeight="1" x14ac:dyDescent="0.3">
      <c r="A13" s="2" t="s">
        <v>48</v>
      </c>
      <c r="B13" s="2" t="s">
        <v>7</v>
      </c>
      <c r="C13" s="2" t="s">
        <v>8</v>
      </c>
      <c r="D13" s="5">
        <v>44999</v>
      </c>
      <c r="E13" s="2" t="s">
        <v>9</v>
      </c>
      <c r="F13" s="9">
        <v>280</v>
      </c>
      <c r="G13" s="2" t="s">
        <v>10</v>
      </c>
      <c r="H13" s="2" t="s">
        <v>11</v>
      </c>
    </row>
    <row r="14" spans="1:8" ht="14.25" customHeight="1" x14ac:dyDescent="0.3">
      <c r="A14" s="2" t="s">
        <v>51</v>
      </c>
      <c r="B14" s="2" t="s">
        <v>241</v>
      </c>
      <c r="C14" s="2" t="s">
        <v>242</v>
      </c>
      <c r="D14" s="5">
        <v>45019</v>
      </c>
      <c r="E14" s="2" t="s">
        <v>20</v>
      </c>
      <c r="F14" s="9">
        <v>270</v>
      </c>
      <c r="G14" s="2" t="s">
        <v>21</v>
      </c>
      <c r="H14" s="2" t="s">
        <v>28</v>
      </c>
    </row>
    <row r="15" spans="1:8" ht="14.25" customHeight="1" x14ac:dyDescent="0.3">
      <c r="A15" s="2" t="s">
        <v>54</v>
      </c>
      <c r="B15" s="2" t="s">
        <v>187</v>
      </c>
      <c r="C15" s="2" t="s">
        <v>188</v>
      </c>
      <c r="D15" s="5">
        <v>45026</v>
      </c>
      <c r="E15" s="2" t="s">
        <v>15</v>
      </c>
      <c r="F15" s="9">
        <v>240</v>
      </c>
      <c r="G15" s="2" t="s">
        <v>10</v>
      </c>
      <c r="H15" s="2" t="s">
        <v>28</v>
      </c>
    </row>
    <row r="16" spans="1:8" ht="14.25" customHeight="1" x14ac:dyDescent="0.3">
      <c r="A16" s="2" t="s">
        <v>57</v>
      </c>
      <c r="B16" s="2" t="s">
        <v>274</v>
      </c>
      <c r="C16" s="2" t="s">
        <v>275</v>
      </c>
      <c r="D16" s="5">
        <v>45028</v>
      </c>
      <c r="E16" s="2" t="s">
        <v>15</v>
      </c>
      <c r="F16" s="9">
        <v>240</v>
      </c>
      <c r="G16" s="2" t="s">
        <v>10</v>
      </c>
      <c r="H16" s="2" t="s">
        <v>38</v>
      </c>
    </row>
    <row r="17" spans="1:8" ht="14.25" customHeight="1" x14ac:dyDescent="0.3">
      <c r="A17" s="2" t="s">
        <v>60</v>
      </c>
      <c r="B17" s="2" t="s">
        <v>73</v>
      </c>
      <c r="C17" s="2" t="s">
        <v>74</v>
      </c>
      <c r="D17" s="5">
        <v>45036</v>
      </c>
      <c r="E17" s="2" t="s">
        <v>15</v>
      </c>
      <c r="F17" s="9">
        <v>240</v>
      </c>
      <c r="G17" s="2" t="s">
        <v>21</v>
      </c>
      <c r="H17" s="2" t="s">
        <v>11</v>
      </c>
    </row>
    <row r="18" spans="1:8" ht="14.25" customHeight="1" x14ac:dyDescent="0.3">
      <c r="A18" s="2" t="s">
        <v>63</v>
      </c>
      <c r="B18" s="2" t="s">
        <v>85</v>
      </c>
      <c r="C18" s="2" t="s">
        <v>86</v>
      </c>
      <c r="D18" s="5">
        <v>45040</v>
      </c>
      <c r="E18" s="14" t="s">
        <v>15</v>
      </c>
      <c r="F18" s="9">
        <v>240</v>
      </c>
      <c r="G18" s="2" t="s">
        <v>21</v>
      </c>
      <c r="H18" s="2" t="s">
        <v>16</v>
      </c>
    </row>
    <row r="19" spans="1:8" ht="14.25" customHeight="1" x14ac:dyDescent="0.3">
      <c r="A19" s="2" t="s">
        <v>66</v>
      </c>
      <c r="B19" s="2" t="s">
        <v>220</v>
      </c>
      <c r="C19" s="2" t="s">
        <v>221</v>
      </c>
      <c r="D19" s="5">
        <v>45041</v>
      </c>
      <c r="E19" s="2" t="s">
        <v>15</v>
      </c>
      <c r="F19" s="9">
        <v>240</v>
      </c>
      <c r="G19" s="2" t="s">
        <v>10</v>
      </c>
      <c r="H19" s="2" t="s">
        <v>16</v>
      </c>
    </row>
    <row r="20" spans="1:8" ht="14.25" customHeight="1" x14ac:dyDescent="0.3">
      <c r="A20" s="2" t="s">
        <v>69</v>
      </c>
      <c r="B20" s="2" t="s">
        <v>229</v>
      </c>
      <c r="C20" s="2" t="s">
        <v>230</v>
      </c>
      <c r="D20" s="5">
        <v>45048</v>
      </c>
      <c r="E20" s="2" t="s">
        <v>15</v>
      </c>
      <c r="F20" s="9">
        <v>240</v>
      </c>
      <c r="G20" s="2" t="s">
        <v>10</v>
      </c>
      <c r="H20" s="2" t="s">
        <v>16</v>
      </c>
    </row>
    <row r="21" spans="1:8" ht="14.25" customHeight="1" x14ac:dyDescent="0.3">
      <c r="A21" s="2" t="s">
        <v>72</v>
      </c>
      <c r="B21" s="2" t="s">
        <v>124</v>
      </c>
      <c r="C21" s="2" t="s">
        <v>125</v>
      </c>
      <c r="D21" s="5">
        <v>45071</v>
      </c>
      <c r="E21" s="2" t="s">
        <v>20</v>
      </c>
      <c r="F21" s="9">
        <v>270</v>
      </c>
      <c r="G21" s="2" t="s">
        <v>21</v>
      </c>
      <c r="H21" s="2" t="s">
        <v>38</v>
      </c>
    </row>
    <row r="22" spans="1:8" ht="14.25" customHeight="1" x14ac:dyDescent="0.3">
      <c r="A22" s="2" t="s">
        <v>75</v>
      </c>
      <c r="B22" s="2" t="s">
        <v>250</v>
      </c>
      <c r="C22" s="2" t="s">
        <v>251</v>
      </c>
      <c r="D22" s="5">
        <v>45072</v>
      </c>
      <c r="E22" s="2" t="s">
        <v>9</v>
      </c>
      <c r="F22" s="9">
        <v>280</v>
      </c>
      <c r="G22" s="2" t="s">
        <v>21</v>
      </c>
      <c r="H22" s="2" t="s">
        <v>38</v>
      </c>
    </row>
    <row r="23" spans="1:8" ht="14.25" customHeight="1" x14ac:dyDescent="0.3">
      <c r="A23" s="2" t="s">
        <v>78</v>
      </c>
      <c r="B23" s="2" t="s">
        <v>36</v>
      </c>
      <c r="C23" s="2" t="s">
        <v>37</v>
      </c>
      <c r="D23" s="5">
        <v>45094</v>
      </c>
      <c r="E23" s="2" t="s">
        <v>20</v>
      </c>
      <c r="F23" s="9">
        <v>270</v>
      </c>
      <c r="G23" s="2" t="s">
        <v>10</v>
      </c>
      <c r="H23" s="2" t="s">
        <v>38</v>
      </c>
    </row>
    <row r="24" spans="1:8" ht="14.25" customHeight="1" x14ac:dyDescent="0.3">
      <c r="A24" s="2" t="s">
        <v>81</v>
      </c>
      <c r="B24" s="2" t="s">
        <v>304</v>
      </c>
      <c r="C24" s="2" t="s">
        <v>305</v>
      </c>
      <c r="D24" s="5">
        <v>45101</v>
      </c>
      <c r="E24" s="2" t="s">
        <v>9</v>
      </c>
      <c r="F24" s="9">
        <v>280</v>
      </c>
      <c r="G24" s="2" t="s">
        <v>21</v>
      </c>
      <c r="H24" s="2" t="s">
        <v>16</v>
      </c>
    </row>
    <row r="25" spans="1:8" ht="14.25" customHeight="1" x14ac:dyDescent="0.3">
      <c r="A25" s="2" t="s">
        <v>84</v>
      </c>
      <c r="B25" s="2" t="s">
        <v>193</v>
      </c>
      <c r="C25" s="2" t="s">
        <v>194</v>
      </c>
      <c r="D25" s="5">
        <v>45113</v>
      </c>
      <c r="E25" s="2" t="s">
        <v>9</v>
      </c>
      <c r="F25" s="9">
        <v>280</v>
      </c>
      <c r="G25" s="2" t="s">
        <v>10</v>
      </c>
      <c r="H25" s="2" t="s">
        <v>38</v>
      </c>
    </row>
    <row r="26" spans="1:8" ht="14.25" customHeight="1" x14ac:dyDescent="0.3">
      <c r="A26" s="2" t="s">
        <v>87</v>
      </c>
      <c r="B26" s="2" t="s">
        <v>23</v>
      </c>
      <c r="C26" s="2" t="s">
        <v>24</v>
      </c>
      <c r="D26" s="5">
        <v>45114</v>
      </c>
      <c r="E26" s="2" t="s">
        <v>15</v>
      </c>
      <c r="F26" s="9">
        <v>240</v>
      </c>
      <c r="G26" s="2" t="s">
        <v>21</v>
      </c>
      <c r="H26" s="2" t="s">
        <v>16</v>
      </c>
    </row>
    <row r="27" spans="1:8" ht="14.25" customHeight="1" x14ac:dyDescent="0.3">
      <c r="A27" s="2" t="s">
        <v>90</v>
      </c>
      <c r="B27" s="2" t="s">
        <v>76</v>
      </c>
      <c r="C27" s="2" t="s">
        <v>77</v>
      </c>
      <c r="D27" s="5">
        <v>45131</v>
      </c>
      <c r="E27" s="2" t="s">
        <v>15</v>
      </c>
      <c r="F27" s="9">
        <v>240</v>
      </c>
      <c r="G27" s="2" t="s">
        <v>10</v>
      </c>
      <c r="H27" s="2" t="s">
        <v>38</v>
      </c>
    </row>
    <row r="28" spans="1:8" ht="14.25" customHeight="1" x14ac:dyDescent="0.3">
      <c r="A28" s="2" t="s">
        <v>93</v>
      </c>
      <c r="B28" s="2" t="s">
        <v>211</v>
      </c>
      <c r="C28" s="2" t="s">
        <v>212</v>
      </c>
      <c r="D28" s="5">
        <v>45133</v>
      </c>
      <c r="E28" s="2" t="s">
        <v>20</v>
      </c>
      <c r="F28" s="9">
        <v>270</v>
      </c>
      <c r="G28" s="2" t="s">
        <v>21</v>
      </c>
      <c r="H28" s="2" t="s">
        <v>28</v>
      </c>
    </row>
    <row r="29" spans="1:8" ht="14.25" customHeight="1" x14ac:dyDescent="0.3">
      <c r="A29" s="2" t="s">
        <v>96</v>
      </c>
      <c r="B29" s="2" t="s">
        <v>301</v>
      </c>
      <c r="C29" s="2" t="s">
        <v>302</v>
      </c>
      <c r="D29" s="5">
        <v>45138</v>
      </c>
      <c r="E29" s="2" t="s">
        <v>20</v>
      </c>
      <c r="F29" s="9">
        <v>270</v>
      </c>
      <c r="G29" s="2" t="s">
        <v>10</v>
      </c>
      <c r="H29" s="2" t="s">
        <v>38</v>
      </c>
    </row>
    <row r="30" spans="1:8" ht="14.25" customHeight="1" x14ac:dyDescent="0.3">
      <c r="A30" s="2" t="s">
        <v>99</v>
      </c>
      <c r="B30" s="2" t="s">
        <v>172</v>
      </c>
      <c r="C30" s="2" t="s">
        <v>173</v>
      </c>
      <c r="D30" s="5">
        <v>45142</v>
      </c>
      <c r="E30" s="2" t="s">
        <v>9</v>
      </c>
      <c r="F30" s="9">
        <v>280</v>
      </c>
      <c r="G30" s="2" t="s">
        <v>10</v>
      </c>
      <c r="H30" s="2" t="s">
        <v>38</v>
      </c>
    </row>
    <row r="31" spans="1:8" ht="14.25" customHeight="1" x14ac:dyDescent="0.3">
      <c r="A31" s="2" t="s">
        <v>102</v>
      </c>
      <c r="B31" s="2" t="s">
        <v>30</v>
      </c>
      <c r="C31" s="2" t="s">
        <v>31</v>
      </c>
      <c r="D31" s="5">
        <v>45155</v>
      </c>
      <c r="E31" s="2" t="s">
        <v>20</v>
      </c>
      <c r="F31" s="9">
        <v>270</v>
      </c>
      <c r="G31" s="2" t="s">
        <v>10</v>
      </c>
      <c r="H31" s="2" t="s">
        <v>16</v>
      </c>
    </row>
    <row r="32" spans="1:8" ht="14.25" customHeight="1" x14ac:dyDescent="0.3">
      <c r="A32" s="2" t="s">
        <v>105</v>
      </c>
      <c r="B32" s="2" t="s">
        <v>55</v>
      </c>
      <c r="C32" s="2" t="s">
        <v>56</v>
      </c>
      <c r="D32" s="5">
        <v>45155</v>
      </c>
      <c r="E32" s="2" t="s">
        <v>20</v>
      </c>
      <c r="F32" s="9">
        <v>270</v>
      </c>
      <c r="G32" s="2" t="s">
        <v>21</v>
      </c>
      <c r="H32" s="2" t="s">
        <v>16</v>
      </c>
    </row>
    <row r="33" spans="1:8" ht="14.25" customHeight="1" x14ac:dyDescent="0.3">
      <c r="A33" s="2" t="s">
        <v>108</v>
      </c>
      <c r="B33" s="2" t="s">
        <v>277</v>
      </c>
      <c r="C33" s="2" t="s">
        <v>278</v>
      </c>
      <c r="D33" s="5">
        <v>45178</v>
      </c>
      <c r="E33" s="2" t="s">
        <v>20</v>
      </c>
      <c r="F33" s="9">
        <v>270</v>
      </c>
      <c r="G33" s="2" t="s">
        <v>10</v>
      </c>
      <c r="H33" s="2" t="s">
        <v>16</v>
      </c>
    </row>
    <row r="34" spans="1:8" ht="14.25" customHeight="1" x14ac:dyDescent="0.3">
      <c r="A34" s="2" t="s">
        <v>111</v>
      </c>
      <c r="B34" s="2" t="s">
        <v>307</v>
      </c>
      <c r="C34" s="2" t="s">
        <v>308</v>
      </c>
      <c r="D34" s="5">
        <v>45180</v>
      </c>
      <c r="E34" s="2" t="s">
        <v>9</v>
      </c>
      <c r="F34" s="9">
        <v>280</v>
      </c>
      <c r="G34" s="2" t="s">
        <v>10</v>
      </c>
      <c r="H34" s="2" t="s">
        <v>11</v>
      </c>
    </row>
    <row r="35" spans="1:8" ht="14.25" customHeight="1" x14ac:dyDescent="0.3">
      <c r="A35" s="2" t="s">
        <v>114</v>
      </c>
      <c r="B35" s="2" t="s">
        <v>61</v>
      </c>
      <c r="C35" s="2" t="s">
        <v>62</v>
      </c>
      <c r="D35" s="5">
        <v>45199</v>
      </c>
      <c r="E35" s="2" t="s">
        <v>15</v>
      </c>
      <c r="F35" s="9">
        <v>240</v>
      </c>
      <c r="G35" s="2" t="s">
        <v>21</v>
      </c>
      <c r="H35" s="2" t="s">
        <v>16</v>
      </c>
    </row>
    <row r="36" spans="1:8" ht="14.25" customHeight="1" x14ac:dyDescent="0.3">
      <c r="A36" s="2" t="s">
        <v>117</v>
      </c>
      <c r="B36" s="2" t="s">
        <v>70</v>
      </c>
      <c r="C36" s="2" t="s">
        <v>71</v>
      </c>
      <c r="D36" s="5">
        <v>45213</v>
      </c>
      <c r="E36" s="2" t="s">
        <v>15</v>
      </c>
      <c r="F36" s="9">
        <v>240</v>
      </c>
      <c r="G36" s="2" t="s">
        <v>21</v>
      </c>
      <c r="H36" s="2" t="s">
        <v>28</v>
      </c>
    </row>
    <row r="37" spans="1:8" ht="14.25" customHeight="1" x14ac:dyDescent="0.3">
      <c r="A37" s="2" t="s">
        <v>120</v>
      </c>
      <c r="B37" s="2" t="s">
        <v>100</v>
      </c>
      <c r="C37" s="2" t="s">
        <v>101</v>
      </c>
      <c r="D37" s="5">
        <v>45215</v>
      </c>
      <c r="E37" s="2" t="s">
        <v>20</v>
      </c>
      <c r="F37" s="9">
        <v>270</v>
      </c>
      <c r="G37" s="2" t="s">
        <v>21</v>
      </c>
      <c r="H37" s="2" t="s">
        <v>11</v>
      </c>
    </row>
    <row r="38" spans="1:8" ht="14.25" customHeight="1" x14ac:dyDescent="0.3">
      <c r="A38" s="2" t="s">
        <v>123</v>
      </c>
      <c r="B38" s="2" t="s">
        <v>289</v>
      </c>
      <c r="C38" s="2" t="s">
        <v>290</v>
      </c>
      <c r="D38" s="5">
        <v>45224</v>
      </c>
      <c r="E38" s="2" t="s">
        <v>9</v>
      </c>
      <c r="F38" s="9">
        <v>280</v>
      </c>
      <c r="G38" s="2" t="s">
        <v>10</v>
      </c>
      <c r="H38" s="2" t="s">
        <v>28</v>
      </c>
    </row>
    <row r="39" spans="1:8" ht="14.25" customHeight="1" x14ac:dyDescent="0.3">
      <c r="A39" s="2" t="s">
        <v>126</v>
      </c>
      <c r="B39" s="2" t="s">
        <v>97</v>
      </c>
      <c r="C39" s="2" t="s">
        <v>98</v>
      </c>
      <c r="D39" s="5">
        <v>45230</v>
      </c>
      <c r="E39" s="2" t="s">
        <v>15</v>
      </c>
      <c r="F39" s="9">
        <v>240</v>
      </c>
      <c r="G39" s="2" t="s">
        <v>10</v>
      </c>
      <c r="H39" s="2" t="s">
        <v>11</v>
      </c>
    </row>
    <row r="40" spans="1:8" ht="14.25" customHeight="1" x14ac:dyDescent="0.3">
      <c r="A40" s="2" t="s">
        <v>129</v>
      </c>
      <c r="B40" s="2" t="s">
        <v>286</v>
      </c>
      <c r="C40" s="2" t="s">
        <v>287</v>
      </c>
      <c r="D40" s="5">
        <v>45233</v>
      </c>
      <c r="E40" s="2" t="s">
        <v>15</v>
      </c>
      <c r="F40" s="9">
        <v>240</v>
      </c>
      <c r="G40" s="2" t="s">
        <v>10</v>
      </c>
      <c r="H40" s="2" t="s">
        <v>38</v>
      </c>
    </row>
    <row r="41" spans="1:8" ht="14.25" customHeight="1" x14ac:dyDescent="0.3">
      <c r="A41" s="2" t="s">
        <v>132</v>
      </c>
      <c r="B41" s="2" t="s">
        <v>112</v>
      </c>
      <c r="C41" s="2" t="s">
        <v>113</v>
      </c>
      <c r="D41" s="5">
        <v>45260</v>
      </c>
      <c r="E41" s="2" t="s">
        <v>20</v>
      </c>
      <c r="F41" s="9">
        <v>270</v>
      </c>
      <c r="G41" s="2" t="s">
        <v>21</v>
      </c>
      <c r="H41" s="2" t="s">
        <v>11</v>
      </c>
    </row>
    <row r="42" spans="1:8" ht="14.25" customHeight="1" x14ac:dyDescent="0.3">
      <c r="A42" s="2" t="s">
        <v>135</v>
      </c>
      <c r="B42" s="2" t="s">
        <v>208</v>
      </c>
      <c r="C42" s="2" t="s">
        <v>209</v>
      </c>
      <c r="D42" s="5">
        <v>45263</v>
      </c>
      <c r="E42" s="2" t="s">
        <v>15</v>
      </c>
      <c r="F42" s="9">
        <v>240</v>
      </c>
      <c r="G42" s="2" t="s">
        <v>21</v>
      </c>
      <c r="H42" s="2" t="s">
        <v>38</v>
      </c>
    </row>
    <row r="43" spans="1:8" ht="14.25" customHeight="1" x14ac:dyDescent="0.3">
      <c r="A43" s="2" t="s">
        <v>138</v>
      </c>
      <c r="B43" s="2" t="s">
        <v>58</v>
      </c>
      <c r="C43" s="2" t="s">
        <v>59</v>
      </c>
      <c r="D43" s="5">
        <v>45269</v>
      </c>
      <c r="E43" s="2" t="s">
        <v>9</v>
      </c>
      <c r="F43" s="9">
        <v>280</v>
      </c>
      <c r="G43" s="2" t="s">
        <v>21</v>
      </c>
      <c r="H43" s="2" t="s">
        <v>16</v>
      </c>
    </row>
    <row r="44" spans="1:8" ht="14.25" customHeight="1" x14ac:dyDescent="0.3">
      <c r="A44" s="2" t="s">
        <v>141</v>
      </c>
      <c r="B44" s="2" t="s">
        <v>109</v>
      </c>
      <c r="C44" s="2" t="s">
        <v>110</v>
      </c>
      <c r="D44" s="5">
        <v>45299</v>
      </c>
      <c r="E44" s="2" t="s">
        <v>20</v>
      </c>
      <c r="F44" s="9">
        <v>270</v>
      </c>
      <c r="G44" s="2" t="s">
        <v>10</v>
      </c>
      <c r="H44" s="2" t="s">
        <v>38</v>
      </c>
    </row>
    <row r="45" spans="1:8" ht="14.25" customHeight="1" x14ac:dyDescent="0.3">
      <c r="A45" s="2" t="s">
        <v>144</v>
      </c>
      <c r="B45" s="2" t="s">
        <v>127</v>
      </c>
      <c r="C45" s="2" t="s">
        <v>128</v>
      </c>
      <c r="D45" s="5">
        <v>45307</v>
      </c>
      <c r="E45" s="2" t="s">
        <v>15</v>
      </c>
      <c r="F45" s="9">
        <v>240</v>
      </c>
      <c r="G45" s="2" t="s">
        <v>10</v>
      </c>
      <c r="H45" s="2" t="s">
        <v>11</v>
      </c>
    </row>
    <row r="46" spans="1:8" ht="14.25" customHeight="1" x14ac:dyDescent="0.3">
      <c r="A46" s="2" t="s">
        <v>147</v>
      </c>
      <c r="B46" s="2" t="s">
        <v>43</v>
      </c>
      <c r="C46" s="2" t="s">
        <v>44</v>
      </c>
      <c r="D46" s="5">
        <v>45313</v>
      </c>
      <c r="E46" s="2" t="s">
        <v>15</v>
      </c>
      <c r="F46" s="9">
        <v>240</v>
      </c>
      <c r="G46" s="2" t="s">
        <v>10</v>
      </c>
      <c r="H46" s="2" t="s">
        <v>38</v>
      </c>
    </row>
    <row r="47" spans="1:8" ht="14.25" customHeight="1" x14ac:dyDescent="0.3">
      <c r="A47" s="2" t="s">
        <v>150</v>
      </c>
      <c r="B47" s="2" t="s">
        <v>88</v>
      </c>
      <c r="C47" s="2" t="s">
        <v>89</v>
      </c>
      <c r="D47" s="5">
        <v>45313</v>
      </c>
      <c r="E47" s="2" t="s">
        <v>15</v>
      </c>
      <c r="F47" s="9">
        <v>240</v>
      </c>
      <c r="G47" s="2" t="s">
        <v>10</v>
      </c>
      <c r="H47" s="2" t="s">
        <v>28</v>
      </c>
    </row>
    <row r="48" spans="1:8" ht="14.25" customHeight="1" x14ac:dyDescent="0.3">
      <c r="A48" s="2" t="s">
        <v>153</v>
      </c>
      <c r="B48" s="2" t="s">
        <v>223</v>
      </c>
      <c r="C48" s="2" t="s">
        <v>224</v>
      </c>
      <c r="D48" s="5">
        <v>45315</v>
      </c>
      <c r="E48" s="2" t="s">
        <v>20</v>
      </c>
      <c r="F48" s="9">
        <v>270</v>
      </c>
      <c r="G48" s="2" t="s">
        <v>10</v>
      </c>
      <c r="H48" s="2" t="s">
        <v>28</v>
      </c>
    </row>
    <row r="49" spans="1:8" ht="14.25" customHeight="1" x14ac:dyDescent="0.3">
      <c r="A49" s="2" t="s">
        <v>156</v>
      </c>
      <c r="B49" s="2" t="s">
        <v>151</v>
      </c>
      <c r="C49" s="2" t="s">
        <v>152</v>
      </c>
      <c r="D49" s="5">
        <v>45322</v>
      </c>
      <c r="E49" s="2" t="s">
        <v>9</v>
      </c>
      <c r="F49" s="9">
        <v>280</v>
      </c>
      <c r="G49" s="2" t="s">
        <v>21</v>
      </c>
      <c r="H49" s="2" t="s">
        <v>11</v>
      </c>
    </row>
    <row r="50" spans="1:8" ht="14.25" customHeight="1" x14ac:dyDescent="0.3">
      <c r="A50" s="2" t="s">
        <v>159</v>
      </c>
      <c r="B50" s="2" t="s">
        <v>163</v>
      </c>
      <c r="C50" s="2" t="s">
        <v>164</v>
      </c>
      <c r="D50" s="5">
        <v>45322</v>
      </c>
      <c r="E50" s="2" t="s">
        <v>20</v>
      </c>
      <c r="F50" s="9">
        <v>270</v>
      </c>
      <c r="G50" s="2" t="s">
        <v>10</v>
      </c>
      <c r="H50" s="2" t="s">
        <v>28</v>
      </c>
    </row>
    <row r="51" spans="1:8" ht="14.25" customHeight="1" x14ac:dyDescent="0.3">
      <c r="A51" s="2" t="s">
        <v>162</v>
      </c>
      <c r="B51" s="2" t="s">
        <v>33</v>
      </c>
      <c r="C51" s="2" t="s">
        <v>34</v>
      </c>
      <c r="D51" s="5">
        <v>45330</v>
      </c>
      <c r="E51" s="2" t="s">
        <v>20</v>
      </c>
      <c r="F51" s="9">
        <v>270</v>
      </c>
      <c r="G51" s="2" t="s">
        <v>21</v>
      </c>
      <c r="H51" s="2" t="s">
        <v>11</v>
      </c>
    </row>
    <row r="52" spans="1:8" ht="14.25" customHeight="1" x14ac:dyDescent="0.3">
      <c r="A52" s="2" t="s">
        <v>165</v>
      </c>
      <c r="B52" s="2" t="s">
        <v>49</v>
      </c>
      <c r="C52" s="2" t="s">
        <v>50</v>
      </c>
      <c r="D52" s="5">
        <v>45331</v>
      </c>
      <c r="E52" s="2" t="s">
        <v>20</v>
      </c>
      <c r="F52" s="9">
        <v>270</v>
      </c>
      <c r="G52" s="2" t="s">
        <v>21</v>
      </c>
      <c r="H52" s="2" t="s">
        <v>11</v>
      </c>
    </row>
    <row r="53" spans="1:8" ht="14.25" customHeight="1" x14ac:dyDescent="0.3">
      <c r="A53" s="2" t="s">
        <v>168</v>
      </c>
      <c r="B53" s="2" t="s">
        <v>310</v>
      </c>
      <c r="C53" s="2" t="s">
        <v>311</v>
      </c>
      <c r="D53" s="5">
        <v>45333</v>
      </c>
      <c r="E53" s="2" t="s">
        <v>20</v>
      </c>
      <c r="F53" s="9">
        <v>270</v>
      </c>
      <c r="G53" s="2" t="s">
        <v>10</v>
      </c>
      <c r="H53" s="2" t="s">
        <v>11</v>
      </c>
    </row>
    <row r="54" spans="1:8" ht="14.25" customHeight="1" x14ac:dyDescent="0.3">
      <c r="A54" s="2" t="s">
        <v>171</v>
      </c>
      <c r="B54" s="2" t="s">
        <v>148</v>
      </c>
      <c r="C54" s="2" t="s">
        <v>149</v>
      </c>
      <c r="D54" s="5">
        <v>45338</v>
      </c>
      <c r="E54" s="2" t="s">
        <v>20</v>
      </c>
      <c r="F54" s="9">
        <v>270</v>
      </c>
      <c r="G54" s="2" t="s">
        <v>10</v>
      </c>
      <c r="H54" s="2" t="s">
        <v>16</v>
      </c>
    </row>
    <row r="55" spans="1:8" ht="14.25" customHeight="1" x14ac:dyDescent="0.3">
      <c r="A55" s="2" t="s">
        <v>174</v>
      </c>
      <c r="B55" s="2" t="s">
        <v>82</v>
      </c>
      <c r="C55" s="2" t="s">
        <v>83</v>
      </c>
      <c r="D55" s="5">
        <v>45343</v>
      </c>
      <c r="E55" s="2" t="s">
        <v>15</v>
      </c>
      <c r="F55" s="9">
        <v>240</v>
      </c>
      <c r="G55" s="2" t="s">
        <v>10</v>
      </c>
      <c r="H55" s="2" t="s">
        <v>28</v>
      </c>
    </row>
    <row r="56" spans="1:8" ht="14.25" customHeight="1" x14ac:dyDescent="0.3">
      <c r="A56" s="2" t="s">
        <v>177</v>
      </c>
      <c r="B56" s="2" t="s">
        <v>232</v>
      </c>
      <c r="C56" s="2" t="s">
        <v>233</v>
      </c>
      <c r="D56" s="5">
        <v>45345</v>
      </c>
      <c r="E56" s="2" t="s">
        <v>9</v>
      </c>
      <c r="F56" s="9">
        <v>280</v>
      </c>
      <c r="G56" s="2" t="s">
        <v>10</v>
      </c>
      <c r="H56" s="2" t="s">
        <v>38</v>
      </c>
    </row>
    <row r="57" spans="1:8" ht="14.25" customHeight="1" x14ac:dyDescent="0.3">
      <c r="A57" s="2" t="s">
        <v>180</v>
      </c>
      <c r="B57" s="2" t="s">
        <v>18</v>
      </c>
      <c r="C57" s="2" t="s">
        <v>19</v>
      </c>
      <c r="D57" s="5">
        <v>45349</v>
      </c>
      <c r="E57" s="2" t="s">
        <v>20</v>
      </c>
      <c r="F57" s="9">
        <v>270</v>
      </c>
      <c r="G57" s="2" t="s">
        <v>21</v>
      </c>
      <c r="H57" s="2" t="s">
        <v>16</v>
      </c>
    </row>
    <row r="58" spans="1:8" ht="14.25" customHeight="1" x14ac:dyDescent="0.3">
      <c r="A58" s="2" t="s">
        <v>183</v>
      </c>
      <c r="B58" s="2" t="s">
        <v>226</v>
      </c>
      <c r="C58" s="2" t="s">
        <v>227</v>
      </c>
      <c r="D58" s="5">
        <v>45350</v>
      </c>
      <c r="E58" s="2" t="s">
        <v>20</v>
      </c>
      <c r="F58" s="9">
        <v>270</v>
      </c>
      <c r="G58" s="2" t="s">
        <v>10</v>
      </c>
      <c r="H58" s="2" t="s">
        <v>28</v>
      </c>
    </row>
    <row r="59" spans="1:8" ht="14.25" customHeight="1" x14ac:dyDescent="0.3">
      <c r="A59" s="2" t="s">
        <v>186</v>
      </c>
      <c r="B59" s="2" t="s">
        <v>295</v>
      </c>
      <c r="C59" s="2" t="s">
        <v>296</v>
      </c>
      <c r="D59" s="5">
        <v>45350</v>
      </c>
      <c r="E59" s="2" t="s">
        <v>15</v>
      </c>
      <c r="F59" s="9">
        <v>240</v>
      </c>
      <c r="G59" s="2" t="s">
        <v>10</v>
      </c>
      <c r="H59" s="2" t="s">
        <v>16</v>
      </c>
    </row>
    <row r="60" spans="1:8" ht="14.25" customHeight="1" x14ac:dyDescent="0.3">
      <c r="A60" s="2" t="s">
        <v>189</v>
      </c>
      <c r="B60" s="2" t="s">
        <v>166</v>
      </c>
      <c r="C60" s="2" t="s">
        <v>167</v>
      </c>
      <c r="D60" s="5">
        <v>45353</v>
      </c>
      <c r="E60" s="2" t="s">
        <v>9</v>
      </c>
      <c r="F60" s="9">
        <v>280</v>
      </c>
      <c r="G60" s="2" t="s">
        <v>10</v>
      </c>
      <c r="H60" s="2" t="s">
        <v>11</v>
      </c>
    </row>
    <row r="61" spans="1:8" ht="14.25" customHeight="1" x14ac:dyDescent="0.3">
      <c r="A61" s="2" t="s">
        <v>192</v>
      </c>
      <c r="B61" s="2" t="s">
        <v>217</v>
      </c>
      <c r="C61" s="2" t="s">
        <v>218</v>
      </c>
      <c r="D61" s="5">
        <v>45353</v>
      </c>
      <c r="E61" s="2" t="s">
        <v>15</v>
      </c>
      <c r="F61" s="9">
        <v>240</v>
      </c>
      <c r="G61" s="2" t="s">
        <v>10</v>
      </c>
      <c r="H61" s="2" t="s">
        <v>38</v>
      </c>
    </row>
    <row r="62" spans="1:8" ht="14.25" customHeight="1" x14ac:dyDescent="0.3">
      <c r="A62" s="2" t="s">
        <v>195</v>
      </c>
      <c r="B62" s="2" t="s">
        <v>115</v>
      </c>
      <c r="C62" s="2" t="s">
        <v>116</v>
      </c>
      <c r="D62" s="5">
        <v>45368</v>
      </c>
      <c r="E62" s="2" t="s">
        <v>15</v>
      </c>
      <c r="F62" s="9">
        <v>240</v>
      </c>
      <c r="G62" s="2" t="s">
        <v>21</v>
      </c>
      <c r="H62" s="2" t="s">
        <v>38</v>
      </c>
    </row>
    <row r="63" spans="1:8" ht="14.25" customHeight="1" x14ac:dyDescent="0.3">
      <c r="A63" s="2" t="s">
        <v>198</v>
      </c>
      <c r="B63" s="2" t="s">
        <v>91</v>
      </c>
      <c r="C63" s="2" t="s">
        <v>92</v>
      </c>
      <c r="D63" s="5">
        <v>45373</v>
      </c>
      <c r="E63" s="2" t="s">
        <v>15</v>
      </c>
      <c r="F63" s="9">
        <v>240</v>
      </c>
      <c r="G63" s="2" t="s">
        <v>10</v>
      </c>
      <c r="H63" s="2" t="s">
        <v>11</v>
      </c>
    </row>
    <row r="64" spans="1:8" ht="14.25" customHeight="1" x14ac:dyDescent="0.3">
      <c r="A64" s="2" t="s">
        <v>201</v>
      </c>
      <c r="B64" s="2" t="s">
        <v>169</v>
      </c>
      <c r="C64" s="2" t="s">
        <v>170</v>
      </c>
      <c r="D64" s="5">
        <v>45375</v>
      </c>
      <c r="E64" s="2" t="s">
        <v>20</v>
      </c>
      <c r="F64" s="9">
        <v>270</v>
      </c>
      <c r="G64" s="2" t="s">
        <v>10</v>
      </c>
      <c r="H64" s="2" t="s">
        <v>16</v>
      </c>
    </row>
    <row r="65" spans="1:8" ht="14.25" customHeight="1" x14ac:dyDescent="0.3">
      <c r="A65" s="2" t="s">
        <v>204</v>
      </c>
      <c r="B65" s="2" t="s">
        <v>202</v>
      </c>
      <c r="C65" s="2" t="s">
        <v>203</v>
      </c>
      <c r="D65" s="5">
        <v>45391</v>
      </c>
      <c r="E65" s="2" t="s">
        <v>9</v>
      </c>
      <c r="F65" s="9">
        <v>280</v>
      </c>
      <c r="G65" s="2" t="s">
        <v>21</v>
      </c>
      <c r="H65" s="2" t="s">
        <v>38</v>
      </c>
    </row>
    <row r="66" spans="1:8" ht="14.25" customHeight="1" x14ac:dyDescent="0.3">
      <c r="A66" s="2" t="s">
        <v>207</v>
      </c>
      <c r="B66" s="2" t="s">
        <v>247</v>
      </c>
      <c r="C66" s="2" t="s">
        <v>248</v>
      </c>
      <c r="D66" s="5">
        <v>45399</v>
      </c>
      <c r="E66" s="2" t="s">
        <v>20</v>
      </c>
      <c r="F66" s="9">
        <v>270</v>
      </c>
      <c r="G66" s="2" t="s">
        <v>10</v>
      </c>
      <c r="H66" s="2" t="s">
        <v>28</v>
      </c>
    </row>
    <row r="67" spans="1:8" ht="14.25" customHeight="1" x14ac:dyDescent="0.3">
      <c r="A67" s="2" t="s">
        <v>210</v>
      </c>
      <c r="B67" s="2" t="s">
        <v>94</v>
      </c>
      <c r="C67" s="2" t="s">
        <v>95</v>
      </c>
      <c r="D67" s="5">
        <v>45410</v>
      </c>
      <c r="E67" s="2" t="s">
        <v>20</v>
      </c>
      <c r="F67" s="9">
        <v>270</v>
      </c>
      <c r="G67" s="2" t="s">
        <v>21</v>
      </c>
      <c r="H67" s="2" t="s">
        <v>11</v>
      </c>
    </row>
    <row r="68" spans="1:8" ht="14.25" customHeight="1" x14ac:dyDescent="0.3">
      <c r="A68" s="2" t="s">
        <v>213</v>
      </c>
      <c r="B68" s="2" t="s">
        <v>67</v>
      </c>
      <c r="C68" s="2" t="s">
        <v>68</v>
      </c>
      <c r="D68" s="5">
        <v>45416</v>
      </c>
      <c r="E68" s="2" t="s">
        <v>15</v>
      </c>
      <c r="F68" s="9">
        <v>240</v>
      </c>
      <c r="G68" s="2" t="s">
        <v>10</v>
      </c>
      <c r="H68" s="2" t="s">
        <v>11</v>
      </c>
    </row>
    <row r="69" spans="1:8" ht="14.25" customHeight="1" x14ac:dyDescent="0.3">
      <c r="A69" s="2" t="s">
        <v>216</v>
      </c>
      <c r="B69" s="2" t="s">
        <v>313</v>
      </c>
      <c r="C69" s="2" t="s">
        <v>314</v>
      </c>
      <c r="D69" s="5">
        <v>45425</v>
      </c>
      <c r="E69" s="2" t="s">
        <v>15</v>
      </c>
      <c r="F69" s="9">
        <v>240</v>
      </c>
      <c r="G69" s="2" t="s">
        <v>10</v>
      </c>
      <c r="H69" s="2" t="s">
        <v>11</v>
      </c>
    </row>
    <row r="70" spans="1:8" ht="14.25" customHeight="1" x14ac:dyDescent="0.3">
      <c r="A70" s="2" t="s">
        <v>219</v>
      </c>
      <c r="B70" s="2" t="s">
        <v>199</v>
      </c>
      <c r="C70" s="2" t="s">
        <v>200</v>
      </c>
      <c r="D70" s="5">
        <v>45437</v>
      </c>
      <c r="E70" s="2" t="s">
        <v>9</v>
      </c>
      <c r="F70" s="9">
        <v>280</v>
      </c>
      <c r="G70" s="2" t="s">
        <v>10</v>
      </c>
      <c r="H70" s="2" t="s">
        <v>16</v>
      </c>
    </row>
    <row r="71" spans="1:8" ht="14.25" customHeight="1" x14ac:dyDescent="0.3">
      <c r="A71" s="2" t="s">
        <v>222</v>
      </c>
      <c r="B71" s="2" t="s">
        <v>133</v>
      </c>
      <c r="C71" s="2" t="s">
        <v>134</v>
      </c>
      <c r="D71" s="5">
        <v>45456</v>
      </c>
      <c r="E71" s="2" t="s">
        <v>15</v>
      </c>
      <c r="F71" s="9">
        <v>240</v>
      </c>
      <c r="G71" s="2" t="s">
        <v>10</v>
      </c>
      <c r="H71" s="2" t="s">
        <v>11</v>
      </c>
    </row>
    <row r="72" spans="1:8" ht="14.25" customHeight="1" x14ac:dyDescent="0.3">
      <c r="A72" s="2" t="s">
        <v>225</v>
      </c>
      <c r="B72" s="2" t="s">
        <v>265</v>
      </c>
      <c r="C72" s="2" t="s">
        <v>266</v>
      </c>
      <c r="D72" s="5">
        <v>45459</v>
      </c>
      <c r="E72" s="2" t="s">
        <v>15</v>
      </c>
      <c r="F72" s="9">
        <v>240</v>
      </c>
      <c r="G72" s="2" t="s">
        <v>21</v>
      </c>
      <c r="H72" s="2" t="s">
        <v>38</v>
      </c>
    </row>
    <row r="73" spans="1:8" ht="14.25" customHeight="1" x14ac:dyDescent="0.3">
      <c r="A73" s="2" t="s">
        <v>228</v>
      </c>
      <c r="B73" s="2" t="s">
        <v>238</v>
      </c>
      <c r="C73" s="2" t="s">
        <v>239</v>
      </c>
      <c r="D73" s="5">
        <v>45461</v>
      </c>
      <c r="E73" s="2" t="s">
        <v>9</v>
      </c>
      <c r="F73" s="9">
        <v>280</v>
      </c>
      <c r="G73" s="2" t="s">
        <v>10</v>
      </c>
      <c r="H73" s="2" t="s">
        <v>11</v>
      </c>
    </row>
    <row r="74" spans="1:8" ht="14.25" customHeight="1" x14ac:dyDescent="0.3">
      <c r="A74" s="2" t="s">
        <v>231</v>
      </c>
      <c r="B74" s="2" t="s">
        <v>52</v>
      </c>
      <c r="C74" s="2" t="s">
        <v>53</v>
      </c>
      <c r="D74" s="5">
        <v>45466</v>
      </c>
      <c r="E74" s="2" t="s">
        <v>9</v>
      </c>
      <c r="F74" s="9">
        <v>280</v>
      </c>
      <c r="G74" s="2" t="s">
        <v>21</v>
      </c>
      <c r="H74" s="2" t="s">
        <v>38</v>
      </c>
    </row>
    <row r="75" spans="1:8" ht="14.25" customHeight="1" x14ac:dyDescent="0.3">
      <c r="A75" s="2" t="s">
        <v>234</v>
      </c>
      <c r="B75" s="2" t="s">
        <v>40</v>
      </c>
      <c r="C75" s="2" t="s">
        <v>41</v>
      </c>
      <c r="D75" s="5">
        <v>45470</v>
      </c>
      <c r="E75" s="2" t="s">
        <v>9</v>
      </c>
      <c r="F75" s="9">
        <v>280</v>
      </c>
      <c r="G75" s="2" t="s">
        <v>10</v>
      </c>
      <c r="H75" s="2" t="s">
        <v>11</v>
      </c>
    </row>
    <row r="76" spans="1:8" ht="14.25" customHeight="1" x14ac:dyDescent="0.3">
      <c r="A76" s="2" t="s">
        <v>237</v>
      </c>
      <c r="B76" s="2" t="s">
        <v>280</v>
      </c>
      <c r="C76" s="2" t="s">
        <v>281</v>
      </c>
      <c r="D76" s="5">
        <v>45471</v>
      </c>
      <c r="E76" s="2" t="s">
        <v>20</v>
      </c>
      <c r="F76" s="9">
        <v>270</v>
      </c>
      <c r="G76" s="2" t="s">
        <v>10</v>
      </c>
      <c r="H76" s="2" t="s">
        <v>11</v>
      </c>
    </row>
    <row r="77" spans="1:8" ht="14.25" customHeight="1" x14ac:dyDescent="0.3">
      <c r="A77" s="2" t="s">
        <v>240</v>
      </c>
      <c r="B77" s="2" t="s">
        <v>64</v>
      </c>
      <c r="C77" s="2" t="s">
        <v>65</v>
      </c>
      <c r="D77" s="5">
        <v>45474</v>
      </c>
      <c r="E77" s="2" t="s">
        <v>9</v>
      </c>
      <c r="F77" s="9">
        <v>280</v>
      </c>
      <c r="G77" s="2" t="s">
        <v>10</v>
      </c>
      <c r="H77" s="2" t="s">
        <v>38</v>
      </c>
    </row>
    <row r="78" spans="1:8" ht="14.25" customHeight="1" x14ac:dyDescent="0.3">
      <c r="A78" s="2" t="s">
        <v>243</v>
      </c>
      <c r="B78" s="2" t="s">
        <v>118</v>
      </c>
      <c r="C78" s="2" t="s">
        <v>119</v>
      </c>
      <c r="D78" s="5">
        <v>45476</v>
      </c>
      <c r="E78" s="2" t="s">
        <v>20</v>
      </c>
      <c r="F78" s="9">
        <v>270</v>
      </c>
      <c r="G78" s="2" t="s">
        <v>21</v>
      </c>
      <c r="H78" s="2" t="s">
        <v>16</v>
      </c>
    </row>
    <row r="79" spans="1:8" ht="14.25" customHeight="1" x14ac:dyDescent="0.3">
      <c r="A79" s="2" t="s">
        <v>246</v>
      </c>
      <c r="B79" s="2" t="s">
        <v>121</v>
      </c>
      <c r="C79" s="2" t="s">
        <v>122</v>
      </c>
      <c r="D79" s="5">
        <v>45484</v>
      </c>
      <c r="E79" s="2" t="s">
        <v>9</v>
      </c>
      <c r="F79" s="9">
        <v>280</v>
      </c>
      <c r="G79" s="2" t="s">
        <v>10</v>
      </c>
      <c r="H79" s="2" t="s">
        <v>28</v>
      </c>
    </row>
    <row r="80" spans="1:8" ht="14.25" customHeight="1" x14ac:dyDescent="0.3">
      <c r="A80" s="2" t="s">
        <v>249</v>
      </c>
      <c r="B80" s="2" t="s">
        <v>175</v>
      </c>
      <c r="C80" s="2" t="s">
        <v>176</v>
      </c>
      <c r="D80" s="5">
        <v>45506</v>
      </c>
      <c r="E80" s="2" t="s">
        <v>20</v>
      </c>
      <c r="F80" s="9">
        <v>270</v>
      </c>
      <c r="G80" s="2" t="s">
        <v>21</v>
      </c>
      <c r="H80" s="2" t="s">
        <v>11</v>
      </c>
    </row>
    <row r="81" spans="1:8" ht="14.25" customHeight="1" x14ac:dyDescent="0.3">
      <c r="A81" s="2" t="s">
        <v>252</v>
      </c>
      <c r="B81" s="2" t="s">
        <v>160</v>
      </c>
      <c r="C81" s="2" t="s">
        <v>161</v>
      </c>
      <c r="D81" s="5">
        <v>45513</v>
      </c>
      <c r="E81" s="2" t="s">
        <v>9</v>
      </c>
      <c r="F81" s="9">
        <v>280</v>
      </c>
      <c r="G81" s="2" t="s">
        <v>10</v>
      </c>
      <c r="H81" s="2" t="s">
        <v>11</v>
      </c>
    </row>
    <row r="82" spans="1:8" ht="14.25" customHeight="1" x14ac:dyDescent="0.3">
      <c r="A82" s="2" t="s">
        <v>255</v>
      </c>
      <c r="B82" s="2" t="s">
        <v>205</v>
      </c>
      <c r="C82" s="2" t="s">
        <v>206</v>
      </c>
      <c r="D82" s="5">
        <v>45518</v>
      </c>
      <c r="E82" s="2" t="s">
        <v>20</v>
      </c>
      <c r="F82" s="9">
        <v>270</v>
      </c>
      <c r="G82" s="2" t="s">
        <v>10</v>
      </c>
      <c r="H82" s="2" t="s">
        <v>38</v>
      </c>
    </row>
    <row r="83" spans="1:8" ht="14.25" customHeight="1" x14ac:dyDescent="0.3">
      <c r="A83" s="2" t="s">
        <v>258</v>
      </c>
      <c r="B83" s="2" t="s">
        <v>262</v>
      </c>
      <c r="C83" s="2" t="s">
        <v>263</v>
      </c>
      <c r="D83" s="5">
        <v>45526</v>
      </c>
      <c r="E83" s="2" t="s">
        <v>15</v>
      </c>
      <c r="F83" s="9">
        <v>240</v>
      </c>
      <c r="G83" s="2" t="s">
        <v>10</v>
      </c>
      <c r="H83" s="2" t="s">
        <v>11</v>
      </c>
    </row>
    <row r="84" spans="1:8" ht="14.25" customHeight="1" x14ac:dyDescent="0.3">
      <c r="A84" s="2" t="s">
        <v>261</v>
      </c>
      <c r="B84" s="2" t="s">
        <v>103</v>
      </c>
      <c r="C84" s="2" t="s">
        <v>104</v>
      </c>
      <c r="D84" s="5">
        <v>45530</v>
      </c>
      <c r="E84" s="2" t="s">
        <v>20</v>
      </c>
      <c r="F84" s="9">
        <v>270</v>
      </c>
      <c r="G84" s="2" t="s">
        <v>10</v>
      </c>
      <c r="H84" s="2" t="s">
        <v>16</v>
      </c>
    </row>
    <row r="85" spans="1:8" ht="14.25" customHeight="1" x14ac:dyDescent="0.3">
      <c r="A85" s="2" t="s">
        <v>264</v>
      </c>
      <c r="B85" s="2" t="s">
        <v>106</v>
      </c>
      <c r="C85" s="2" t="s">
        <v>107</v>
      </c>
      <c r="D85" s="5">
        <v>45533</v>
      </c>
      <c r="E85" s="2" t="s">
        <v>9</v>
      </c>
      <c r="F85" s="9">
        <v>280</v>
      </c>
      <c r="G85" s="2" t="s">
        <v>21</v>
      </c>
      <c r="H85" s="2" t="s">
        <v>28</v>
      </c>
    </row>
    <row r="86" spans="1:8" ht="14.25" customHeight="1" x14ac:dyDescent="0.3">
      <c r="A86" s="2" t="s">
        <v>267</v>
      </c>
      <c r="B86" s="2" t="s">
        <v>181</v>
      </c>
      <c r="C86" s="2" t="s">
        <v>182</v>
      </c>
      <c r="D86" s="5">
        <v>45534</v>
      </c>
      <c r="E86" s="2" t="s">
        <v>15</v>
      </c>
      <c r="F86" s="9">
        <v>240</v>
      </c>
      <c r="G86" s="2" t="s">
        <v>10</v>
      </c>
      <c r="H86" s="2" t="s">
        <v>28</v>
      </c>
    </row>
    <row r="87" spans="1:8" ht="14.25" customHeight="1" x14ac:dyDescent="0.3">
      <c r="A87" s="2" t="s">
        <v>270</v>
      </c>
      <c r="B87" s="2" t="s">
        <v>139</v>
      </c>
      <c r="C87" s="2" t="s">
        <v>140</v>
      </c>
      <c r="D87" s="5">
        <v>45560</v>
      </c>
      <c r="E87" s="2" t="s">
        <v>20</v>
      </c>
      <c r="F87" s="9">
        <v>270</v>
      </c>
      <c r="G87" s="2" t="s">
        <v>10</v>
      </c>
      <c r="H87" s="2" t="s">
        <v>11</v>
      </c>
    </row>
    <row r="88" spans="1:8" ht="14.25" customHeight="1" x14ac:dyDescent="0.3">
      <c r="A88" s="2" t="s">
        <v>273</v>
      </c>
      <c r="B88" s="2" t="s">
        <v>298</v>
      </c>
      <c r="C88" s="2" t="s">
        <v>299</v>
      </c>
      <c r="D88" s="5">
        <v>45562</v>
      </c>
      <c r="E88" s="2" t="s">
        <v>15</v>
      </c>
      <c r="F88" s="9">
        <v>240</v>
      </c>
      <c r="G88" s="2" t="s">
        <v>21</v>
      </c>
      <c r="H88" s="2" t="s">
        <v>38</v>
      </c>
    </row>
    <row r="89" spans="1:8" ht="14.25" customHeight="1" x14ac:dyDescent="0.3">
      <c r="A89" s="2" t="s">
        <v>276</v>
      </c>
      <c r="B89" s="2" t="s">
        <v>136</v>
      </c>
      <c r="C89" s="2" t="s">
        <v>137</v>
      </c>
      <c r="D89" s="5">
        <v>45566</v>
      </c>
      <c r="E89" s="2" t="s">
        <v>9</v>
      </c>
      <c r="F89" s="9">
        <v>280</v>
      </c>
      <c r="G89" s="2" t="s">
        <v>21</v>
      </c>
      <c r="H89" s="2" t="s">
        <v>11</v>
      </c>
    </row>
    <row r="90" spans="1:8" ht="14.25" customHeight="1" x14ac:dyDescent="0.3">
      <c r="A90" s="2" t="s">
        <v>279</v>
      </c>
      <c r="B90" s="2" t="s">
        <v>292</v>
      </c>
      <c r="C90" s="2" t="s">
        <v>293</v>
      </c>
      <c r="D90" s="5">
        <v>45571</v>
      </c>
      <c r="E90" s="2" t="s">
        <v>9</v>
      </c>
      <c r="F90" s="9">
        <v>280</v>
      </c>
      <c r="G90" s="2" t="s">
        <v>10</v>
      </c>
      <c r="H90" s="2" t="s">
        <v>28</v>
      </c>
    </row>
    <row r="91" spans="1:8" ht="14.25" customHeight="1" x14ac:dyDescent="0.3">
      <c r="A91" s="2" t="s">
        <v>282</v>
      </c>
      <c r="B91" s="2" t="s">
        <v>271</v>
      </c>
      <c r="C91" s="2" t="s">
        <v>272</v>
      </c>
      <c r="D91" s="5">
        <v>45581</v>
      </c>
      <c r="E91" s="2" t="s">
        <v>15</v>
      </c>
      <c r="F91" s="9">
        <v>240</v>
      </c>
      <c r="G91" s="2" t="s">
        <v>21</v>
      </c>
      <c r="H91" s="2" t="s">
        <v>38</v>
      </c>
    </row>
    <row r="92" spans="1:8" ht="14.25" customHeight="1" x14ac:dyDescent="0.3">
      <c r="A92" s="2" t="s">
        <v>285</v>
      </c>
      <c r="B92" s="2" t="s">
        <v>268</v>
      </c>
      <c r="C92" s="2" t="s">
        <v>269</v>
      </c>
      <c r="D92" s="5">
        <v>45588</v>
      </c>
      <c r="E92" s="2" t="s">
        <v>9</v>
      </c>
      <c r="F92" s="9">
        <v>280</v>
      </c>
      <c r="G92" s="2" t="s">
        <v>10</v>
      </c>
      <c r="H92" s="2" t="s">
        <v>28</v>
      </c>
    </row>
    <row r="93" spans="1:8" ht="14.25" customHeight="1" x14ac:dyDescent="0.3">
      <c r="A93" s="2" t="s">
        <v>288</v>
      </c>
      <c r="B93" s="2" t="s">
        <v>130</v>
      </c>
      <c r="C93" s="2" t="s">
        <v>131</v>
      </c>
      <c r="D93" s="5">
        <v>45590</v>
      </c>
      <c r="E93" s="2" t="s">
        <v>9</v>
      </c>
      <c r="F93" s="9">
        <v>280</v>
      </c>
      <c r="G93" s="2" t="s">
        <v>21</v>
      </c>
      <c r="H93" s="2" t="s">
        <v>38</v>
      </c>
    </row>
    <row r="94" spans="1:8" ht="14.25" customHeight="1" x14ac:dyDescent="0.3">
      <c r="A94" s="2" t="s">
        <v>291</v>
      </c>
      <c r="B94" s="2" t="s">
        <v>154</v>
      </c>
      <c r="C94" s="2" t="s">
        <v>155</v>
      </c>
      <c r="D94" s="5">
        <v>45593</v>
      </c>
      <c r="E94" s="2" t="s">
        <v>15</v>
      </c>
      <c r="F94" s="9">
        <v>240</v>
      </c>
      <c r="G94" s="2" t="s">
        <v>21</v>
      </c>
      <c r="H94" s="2" t="s">
        <v>28</v>
      </c>
    </row>
    <row r="95" spans="1:8" ht="14.25" customHeight="1" x14ac:dyDescent="0.3">
      <c r="A95" s="2" t="s">
        <v>294</v>
      </c>
      <c r="B95" s="2" t="s">
        <v>178</v>
      </c>
      <c r="C95" s="2" t="s">
        <v>179</v>
      </c>
      <c r="D95" s="5">
        <v>45598</v>
      </c>
      <c r="E95" s="2" t="s">
        <v>15</v>
      </c>
      <c r="F95" s="9">
        <v>240</v>
      </c>
      <c r="G95" s="2" t="s">
        <v>10</v>
      </c>
      <c r="H95" s="2" t="s">
        <v>38</v>
      </c>
    </row>
    <row r="96" spans="1:8" ht="14.25" customHeight="1" x14ac:dyDescent="0.3">
      <c r="A96" s="2" t="s">
        <v>297</v>
      </c>
      <c r="B96" s="2" t="s">
        <v>244</v>
      </c>
      <c r="C96" s="2" t="s">
        <v>245</v>
      </c>
      <c r="D96" s="5">
        <v>45605</v>
      </c>
      <c r="E96" s="2" t="s">
        <v>9</v>
      </c>
      <c r="F96" s="9">
        <v>280</v>
      </c>
      <c r="G96" s="2" t="s">
        <v>21</v>
      </c>
      <c r="H96" s="2" t="s">
        <v>16</v>
      </c>
    </row>
    <row r="97" spans="1:8" ht="14.25" customHeight="1" x14ac:dyDescent="0.3">
      <c r="A97" s="2" t="s">
        <v>300</v>
      </c>
      <c r="B97" s="2" t="s">
        <v>259</v>
      </c>
      <c r="C97" s="2" t="s">
        <v>260</v>
      </c>
      <c r="D97" s="5">
        <v>45609</v>
      </c>
      <c r="E97" s="2" t="s">
        <v>20</v>
      </c>
      <c r="F97" s="9">
        <v>270</v>
      </c>
      <c r="G97" s="2" t="s">
        <v>10</v>
      </c>
      <c r="H97" s="2" t="s">
        <v>11</v>
      </c>
    </row>
    <row r="98" spans="1:8" ht="14.25" customHeight="1" x14ac:dyDescent="0.3">
      <c r="A98" s="2" t="s">
        <v>303</v>
      </c>
      <c r="B98" s="2" t="s">
        <v>235</v>
      </c>
      <c r="C98" s="2" t="s">
        <v>236</v>
      </c>
      <c r="D98" s="5">
        <v>45640</v>
      </c>
      <c r="E98" s="2" t="s">
        <v>20</v>
      </c>
      <c r="F98" s="9">
        <v>270</v>
      </c>
      <c r="G98" s="2" t="s">
        <v>21</v>
      </c>
      <c r="H98" s="2" t="s">
        <v>16</v>
      </c>
    </row>
    <row r="99" spans="1:8" ht="14.25" customHeight="1" x14ac:dyDescent="0.3">
      <c r="A99" s="2" t="s">
        <v>306</v>
      </c>
      <c r="B99" s="2" t="s">
        <v>214</v>
      </c>
      <c r="C99" s="2" t="s">
        <v>215</v>
      </c>
      <c r="D99" s="5">
        <v>45646</v>
      </c>
      <c r="E99" s="2" t="s">
        <v>9</v>
      </c>
      <c r="F99" s="9">
        <v>280</v>
      </c>
      <c r="G99" s="2" t="s">
        <v>21</v>
      </c>
      <c r="H99" s="2" t="s">
        <v>11</v>
      </c>
    </row>
    <row r="100" spans="1:8" ht="14.25" customHeight="1" x14ac:dyDescent="0.3">
      <c r="A100" s="2" t="s">
        <v>309</v>
      </c>
      <c r="B100" s="2" t="s">
        <v>253</v>
      </c>
      <c r="C100" s="2" t="s">
        <v>254</v>
      </c>
      <c r="D100" s="5">
        <v>45652</v>
      </c>
      <c r="E100" s="2" t="s">
        <v>20</v>
      </c>
      <c r="F100" s="9">
        <v>270</v>
      </c>
      <c r="G100" s="2" t="s">
        <v>10</v>
      </c>
      <c r="H100" s="2" t="s">
        <v>38</v>
      </c>
    </row>
    <row r="101" spans="1:8" ht="14.25" customHeight="1" x14ac:dyDescent="0.3">
      <c r="A101" s="2" t="s">
        <v>312</v>
      </c>
      <c r="B101" s="2" t="s">
        <v>79</v>
      </c>
      <c r="C101" s="2" t="s">
        <v>80</v>
      </c>
      <c r="D101" s="5">
        <v>45657</v>
      </c>
      <c r="E101" s="2" t="s">
        <v>15</v>
      </c>
      <c r="F101" s="9">
        <v>240</v>
      </c>
      <c r="G101" s="2" t="s">
        <v>10</v>
      </c>
      <c r="H101" s="2" t="s">
        <v>28</v>
      </c>
    </row>
    <row r="102" spans="1:8" ht="14.25" customHeight="1" x14ac:dyDescent="0.3"/>
    <row r="103" spans="1:8" ht="14.25" customHeight="1" x14ac:dyDescent="0.3"/>
    <row r="104" spans="1:8" ht="14.25" customHeight="1" x14ac:dyDescent="0.3"/>
    <row r="105" spans="1:8" ht="14.25" customHeight="1" x14ac:dyDescent="0.3"/>
    <row r="106" spans="1:8" ht="14.25" customHeight="1" x14ac:dyDescent="0.3"/>
    <row r="107" spans="1:8" ht="14.25" customHeight="1" x14ac:dyDescent="0.3"/>
    <row r="108" spans="1:8" ht="14.25" customHeight="1" x14ac:dyDescent="0.3"/>
    <row r="109" spans="1:8" ht="14.25" customHeight="1" x14ac:dyDescent="0.3"/>
    <row r="110" spans="1:8" ht="14.25" customHeight="1" x14ac:dyDescent="0.3"/>
    <row r="111" spans="1:8" ht="14.25" customHeight="1" x14ac:dyDescent="0.3"/>
    <row r="112" spans="1:8"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H101" xr:uid="{00000000-0001-0000-0000-000000000000}"/>
  <sortState xmlns:xlrd2="http://schemas.microsoft.com/office/spreadsheetml/2017/richdata2" ref="A2:A1002">
    <sortCondition ref="A1:A1002"/>
  </sortState>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A329F-BF9C-4D9F-8F97-B9C4013065AF}">
  <sheetPr codeName="Sheet3"/>
  <dimension ref="A1:G99"/>
  <sheetViews>
    <sheetView workbookViewId="0">
      <selection activeCell="I3" sqref="I3"/>
    </sheetView>
  </sheetViews>
  <sheetFormatPr defaultRowHeight="14.4" x14ac:dyDescent="0.3"/>
  <cols>
    <col min="1" max="1" width="10.77734375" style="6" bestFit="1" customWidth="1"/>
    <col min="2" max="2" width="11.77734375" bestFit="1" customWidth="1"/>
    <col min="3" max="3" width="10.5546875" bestFit="1" customWidth="1"/>
    <col min="6" max="6" width="17.6640625" bestFit="1" customWidth="1"/>
    <col min="7" max="7" width="10.77734375" bestFit="1" customWidth="1"/>
    <col min="10" max="10" width="10.77734375" bestFit="1" customWidth="1"/>
  </cols>
  <sheetData>
    <row r="1" spans="1:7" x14ac:dyDescent="0.3">
      <c r="A1" s="10" t="s">
        <v>317</v>
      </c>
      <c r="B1" t="s">
        <v>323</v>
      </c>
      <c r="C1" t="s">
        <v>352</v>
      </c>
      <c r="F1" s="10" t="s">
        <v>2</v>
      </c>
      <c r="G1" t="s">
        <v>352</v>
      </c>
    </row>
    <row r="2" spans="1:7" x14ac:dyDescent="0.3">
      <c r="A2" s="11" t="s">
        <v>321</v>
      </c>
      <c r="B2">
        <v>42</v>
      </c>
      <c r="C2" s="7">
        <v>10930</v>
      </c>
      <c r="F2" s="11" t="s">
        <v>321</v>
      </c>
      <c r="G2" s="7"/>
    </row>
    <row r="3" spans="1:7" x14ac:dyDescent="0.3">
      <c r="A3" s="16" t="s">
        <v>340</v>
      </c>
      <c r="B3">
        <v>3</v>
      </c>
      <c r="C3" s="7">
        <v>750</v>
      </c>
      <c r="F3" s="16" t="s">
        <v>15</v>
      </c>
      <c r="G3" s="7">
        <v>4080</v>
      </c>
    </row>
    <row r="4" spans="1:7" x14ac:dyDescent="0.3">
      <c r="A4" s="16" t="s">
        <v>341</v>
      </c>
      <c r="B4">
        <v>8</v>
      </c>
      <c r="C4" s="7">
        <v>2120</v>
      </c>
      <c r="F4" s="11" t="s">
        <v>322</v>
      </c>
      <c r="G4" s="7"/>
    </row>
    <row r="5" spans="1:7" x14ac:dyDescent="0.3">
      <c r="A5" s="16" t="s">
        <v>342</v>
      </c>
      <c r="B5">
        <v>1</v>
      </c>
      <c r="C5" s="7">
        <v>280</v>
      </c>
      <c r="F5" s="16" t="s">
        <v>15</v>
      </c>
      <c r="G5" s="7">
        <v>4560</v>
      </c>
    </row>
    <row r="6" spans="1:7" x14ac:dyDescent="0.3">
      <c r="A6" s="16" t="s">
        <v>343</v>
      </c>
      <c r="B6">
        <v>6</v>
      </c>
      <c r="C6" s="7">
        <v>1470</v>
      </c>
      <c r="F6" s="11" t="s">
        <v>316</v>
      </c>
      <c r="G6" s="7">
        <v>8640</v>
      </c>
    </row>
    <row r="7" spans="1:7" x14ac:dyDescent="0.3">
      <c r="A7" s="16" t="s">
        <v>344</v>
      </c>
      <c r="B7">
        <v>3</v>
      </c>
      <c r="C7" s="7">
        <v>790</v>
      </c>
    </row>
    <row r="8" spans="1:7" x14ac:dyDescent="0.3">
      <c r="A8" s="16" t="s">
        <v>345</v>
      </c>
      <c r="B8">
        <v>2</v>
      </c>
      <c r="C8" s="7">
        <v>550</v>
      </c>
    </row>
    <row r="9" spans="1:7" x14ac:dyDescent="0.3">
      <c r="A9" s="16" t="s">
        <v>346</v>
      </c>
      <c r="B9">
        <v>5</v>
      </c>
      <c r="C9" s="7">
        <v>1300</v>
      </c>
    </row>
    <row r="10" spans="1:7" x14ac:dyDescent="0.3">
      <c r="A10" s="16" t="s">
        <v>347</v>
      </c>
      <c r="B10">
        <v>3</v>
      </c>
      <c r="C10" s="7">
        <v>820</v>
      </c>
    </row>
    <row r="11" spans="1:7" x14ac:dyDescent="0.3">
      <c r="A11" s="16" t="s">
        <v>348</v>
      </c>
      <c r="B11">
        <v>3</v>
      </c>
      <c r="C11" s="7">
        <v>790</v>
      </c>
    </row>
    <row r="12" spans="1:7" x14ac:dyDescent="0.3">
      <c r="A12" s="16" t="s">
        <v>349</v>
      </c>
      <c r="B12">
        <v>4</v>
      </c>
      <c r="C12" s="7">
        <v>1030</v>
      </c>
      <c r="F12" s="10" t="s">
        <v>3</v>
      </c>
      <c r="G12" t="s">
        <v>353</v>
      </c>
    </row>
    <row r="13" spans="1:7" x14ac:dyDescent="0.3">
      <c r="A13" s="16" t="s">
        <v>350</v>
      </c>
      <c r="B13">
        <v>2</v>
      </c>
      <c r="C13" s="7">
        <v>510</v>
      </c>
      <c r="F13" s="11" t="s">
        <v>321</v>
      </c>
      <c r="G13" s="17"/>
    </row>
    <row r="14" spans="1:7" x14ac:dyDescent="0.3">
      <c r="A14" s="16" t="s">
        <v>351</v>
      </c>
      <c r="B14">
        <v>2</v>
      </c>
      <c r="C14" s="7">
        <v>520</v>
      </c>
      <c r="F14" s="16" t="s">
        <v>10</v>
      </c>
      <c r="G14" s="17">
        <v>10</v>
      </c>
    </row>
    <row r="15" spans="1:7" x14ac:dyDescent="0.3">
      <c r="A15" s="11" t="s">
        <v>322</v>
      </c>
      <c r="B15">
        <v>58</v>
      </c>
      <c r="C15" s="7">
        <v>15270</v>
      </c>
      <c r="F15" s="16" t="s">
        <v>21</v>
      </c>
      <c r="G15" s="17">
        <v>7</v>
      </c>
    </row>
    <row r="16" spans="1:7" x14ac:dyDescent="0.3">
      <c r="A16" s="16" t="s">
        <v>340</v>
      </c>
      <c r="B16">
        <v>7</v>
      </c>
      <c r="C16" s="7">
        <v>1810</v>
      </c>
      <c r="F16" s="11" t="s">
        <v>316</v>
      </c>
      <c r="G16" s="17">
        <v>17</v>
      </c>
    </row>
    <row r="17" spans="1:7" x14ac:dyDescent="0.3">
      <c r="A17" s="16" t="s">
        <v>341</v>
      </c>
      <c r="B17">
        <v>9</v>
      </c>
      <c r="C17" s="7">
        <v>2380</v>
      </c>
    </row>
    <row r="18" spans="1:7" x14ac:dyDescent="0.3">
      <c r="A18" s="16" t="s">
        <v>342</v>
      </c>
      <c r="B18">
        <v>5</v>
      </c>
      <c r="C18" s="7">
        <v>1270</v>
      </c>
      <c r="F18" s="10" t="s">
        <v>3</v>
      </c>
      <c r="G18" t="s">
        <v>353</v>
      </c>
    </row>
    <row r="19" spans="1:7" x14ac:dyDescent="0.3">
      <c r="A19" s="16" t="s">
        <v>343</v>
      </c>
      <c r="B19">
        <v>3</v>
      </c>
      <c r="C19" s="7">
        <v>820</v>
      </c>
      <c r="F19" s="11" t="s">
        <v>322</v>
      </c>
      <c r="G19" s="17"/>
    </row>
    <row r="20" spans="1:7" x14ac:dyDescent="0.3">
      <c r="A20" s="16" t="s">
        <v>344</v>
      </c>
      <c r="B20">
        <v>3</v>
      </c>
      <c r="C20" s="7">
        <v>760</v>
      </c>
      <c r="F20" s="16" t="s">
        <v>10</v>
      </c>
      <c r="G20" s="17">
        <v>14</v>
      </c>
    </row>
    <row r="21" spans="1:7" x14ac:dyDescent="0.3">
      <c r="A21" s="16" t="s">
        <v>345</v>
      </c>
      <c r="B21">
        <v>6</v>
      </c>
      <c r="C21" s="7">
        <v>1590</v>
      </c>
      <c r="F21" s="16" t="s">
        <v>21</v>
      </c>
      <c r="G21" s="17">
        <v>5</v>
      </c>
    </row>
    <row r="22" spans="1:7" x14ac:dyDescent="0.3">
      <c r="A22" s="16" t="s">
        <v>346</v>
      </c>
      <c r="B22">
        <v>3</v>
      </c>
      <c r="C22" s="7">
        <v>830</v>
      </c>
      <c r="F22" s="11" t="s">
        <v>316</v>
      </c>
      <c r="G22" s="17">
        <v>19</v>
      </c>
    </row>
    <row r="23" spans="1:7" x14ac:dyDescent="0.3">
      <c r="A23" s="16" t="s">
        <v>347</v>
      </c>
      <c r="B23">
        <v>7</v>
      </c>
      <c r="C23" s="7">
        <v>1850</v>
      </c>
    </row>
    <row r="24" spans="1:7" x14ac:dyDescent="0.3">
      <c r="A24" s="16" t="s">
        <v>348</v>
      </c>
      <c r="B24">
        <v>2</v>
      </c>
      <c r="C24" s="7">
        <v>510</v>
      </c>
    </row>
    <row r="25" spans="1:7" x14ac:dyDescent="0.3">
      <c r="A25" s="16" t="s">
        <v>349</v>
      </c>
      <c r="B25">
        <v>6</v>
      </c>
      <c r="C25" s="7">
        <v>1600</v>
      </c>
    </row>
    <row r="26" spans="1:7" x14ac:dyDescent="0.3">
      <c r="A26" s="16" t="s">
        <v>350</v>
      </c>
      <c r="B26">
        <v>3</v>
      </c>
      <c r="C26" s="7">
        <v>790</v>
      </c>
    </row>
    <row r="27" spans="1:7" x14ac:dyDescent="0.3">
      <c r="A27" s="16" t="s">
        <v>351</v>
      </c>
      <c r="B27">
        <v>4</v>
      </c>
      <c r="C27" s="7">
        <v>1060</v>
      </c>
    </row>
    <row r="28" spans="1:7" x14ac:dyDescent="0.3">
      <c r="A28" s="11" t="s">
        <v>316</v>
      </c>
      <c r="B28">
        <v>100</v>
      </c>
      <c r="C28" s="7">
        <v>26200</v>
      </c>
    </row>
    <row r="29" spans="1:7" x14ac:dyDescent="0.3">
      <c r="A29"/>
    </row>
    <row r="30" spans="1:7" x14ac:dyDescent="0.3">
      <c r="A30"/>
    </row>
    <row r="31" spans="1:7" x14ac:dyDescent="0.3">
      <c r="A31"/>
    </row>
    <row r="32" spans="1:7"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EAC66-8B9B-4D58-BA9C-8EC88F60C9F7}">
  <sheetPr codeName="Sheet4"/>
  <dimension ref="A1:I18"/>
  <sheetViews>
    <sheetView workbookViewId="0">
      <selection activeCell="C4" sqref="C4"/>
    </sheetView>
  </sheetViews>
  <sheetFormatPr defaultRowHeight="14.4" x14ac:dyDescent="0.3"/>
  <cols>
    <col min="1" max="1" width="10" customWidth="1"/>
    <col min="2" max="2" width="14" customWidth="1"/>
    <col min="3" max="3" width="9.88671875" customWidth="1"/>
    <col min="4" max="4" width="24" customWidth="1"/>
    <col min="5" max="5" width="24.109375" customWidth="1"/>
    <col min="6" max="8" width="24.109375" style="7" customWidth="1"/>
    <col min="9" max="9" width="24.109375" customWidth="1"/>
    <col min="18" max="18" width="8.88671875" customWidth="1"/>
  </cols>
  <sheetData>
    <row r="1" spans="1:9" x14ac:dyDescent="0.3">
      <c r="A1" t="s">
        <v>317</v>
      </c>
      <c r="B1" t="s">
        <v>323</v>
      </c>
      <c r="C1" t="s">
        <v>318</v>
      </c>
      <c r="D1" t="s">
        <v>319</v>
      </c>
      <c r="E1" t="s">
        <v>320</v>
      </c>
      <c r="F1" s="7" t="s">
        <v>325</v>
      </c>
      <c r="G1" s="7" t="s">
        <v>324</v>
      </c>
      <c r="H1" s="13" t="s">
        <v>327</v>
      </c>
      <c r="I1" s="12" t="s">
        <v>328</v>
      </c>
    </row>
    <row r="2" spans="1:9" x14ac:dyDescent="0.3">
      <c r="A2">
        <v>2023</v>
      </c>
      <c r="B2">
        <v>42</v>
      </c>
      <c r="F2" s="7">
        <v>10930</v>
      </c>
      <c r="H2" s="7">
        <f>F2 - (E9 + E10)</f>
        <v>1430</v>
      </c>
    </row>
    <row r="3" spans="1:9" x14ac:dyDescent="0.3">
      <c r="A3">
        <v>2024</v>
      </c>
      <c r="B3">
        <v>58</v>
      </c>
      <c r="C3">
        <v>58</v>
      </c>
      <c r="D3" s="3">
        <v>58</v>
      </c>
      <c r="E3" s="3">
        <v>58</v>
      </c>
      <c r="F3" s="7">
        <v>15270</v>
      </c>
      <c r="H3" s="7">
        <f>F3 - (E9 + E10)</f>
        <v>5770</v>
      </c>
    </row>
    <row r="4" spans="1:9" x14ac:dyDescent="0.3">
      <c r="A4">
        <v>2025</v>
      </c>
      <c r="C4">
        <f>_xlfn.FORECAST.ETS(A4,$B$2:$B$3,$A$2:$A$3,1,1)</f>
        <v>74</v>
      </c>
      <c r="D4" s="3">
        <f>C4-_xlfn.FORECAST.ETS.CONFINT(A4,$B$2:$B$3,$A$2:$A$3,0.95,1,1)</f>
        <v>74</v>
      </c>
      <c r="E4" s="3">
        <f>C4+_xlfn.FORECAST.ETS.CONFINT(A4,$B$2:$B$3,$A$2:$A$3,0.95,1,1)</f>
        <v>74</v>
      </c>
      <c r="G4" s="7">
        <f>E8 * E12</f>
        <v>19486.419999999998</v>
      </c>
      <c r="I4" s="7">
        <f>G4 - (E9 + E10)</f>
        <v>9986.4199999999983</v>
      </c>
    </row>
    <row r="5" spans="1:9" x14ac:dyDescent="0.3">
      <c r="A5">
        <v>2026</v>
      </c>
      <c r="C5">
        <f>_xlfn.FORECAST.ETS(A5,$B$2:$B$3,$A$2:$A$3,1,1)</f>
        <v>90</v>
      </c>
      <c r="D5" s="3">
        <f>C5-_xlfn.FORECAST.ETS.CONFINT(A5,$B$2:$B$3,$A$2:$A$3,0.95,1,1)</f>
        <v>90</v>
      </c>
      <c r="E5" s="3">
        <f>C5+_xlfn.FORECAST.ETS.CONFINT(A5,$B$2:$B$3,$A$2:$A$3,0.95,1,1)</f>
        <v>90</v>
      </c>
      <c r="G5" s="7">
        <f>E8 * E13</f>
        <v>23699.699999999997</v>
      </c>
      <c r="I5" s="7">
        <f>G5 - (E9 + E10)</f>
        <v>14199.699999999997</v>
      </c>
    </row>
    <row r="7" spans="1:9" x14ac:dyDescent="0.3">
      <c r="A7" t="s">
        <v>339</v>
      </c>
      <c r="C7" s="7">
        <v>240</v>
      </c>
      <c r="D7" s="7">
        <v>270</v>
      </c>
      <c r="E7" s="7">
        <v>280</v>
      </c>
    </row>
    <row r="8" spans="1:9" x14ac:dyDescent="0.3">
      <c r="A8" s="14" t="s">
        <v>334</v>
      </c>
      <c r="E8" s="7">
        <v>263.33</v>
      </c>
    </row>
    <row r="9" spans="1:9" x14ac:dyDescent="0.3">
      <c r="A9" s="14" t="s">
        <v>329</v>
      </c>
      <c r="E9" s="7">
        <v>3000</v>
      </c>
    </row>
    <row r="10" spans="1:9" x14ac:dyDescent="0.3">
      <c r="A10" s="14" t="s">
        <v>330</v>
      </c>
      <c r="E10" s="7">
        <v>6500</v>
      </c>
    </row>
    <row r="11" spans="1:9" x14ac:dyDescent="0.3">
      <c r="A11" s="14" t="s">
        <v>331</v>
      </c>
      <c r="E11" s="7">
        <v>50000</v>
      </c>
    </row>
    <row r="12" spans="1:9" x14ac:dyDescent="0.3">
      <c r="A12" s="14" t="s">
        <v>332</v>
      </c>
      <c r="E12">
        <v>74</v>
      </c>
    </row>
    <row r="13" spans="1:9" x14ac:dyDescent="0.3">
      <c r="A13" s="14" t="s">
        <v>333</v>
      </c>
      <c r="E13">
        <v>90</v>
      </c>
    </row>
    <row r="15" spans="1:9" x14ac:dyDescent="0.3">
      <c r="A15" s="15" t="s">
        <v>338</v>
      </c>
    </row>
    <row r="16" spans="1:9" x14ac:dyDescent="0.3">
      <c r="A16" s="14" t="s">
        <v>335</v>
      </c>
      <c r="E16">
        <v>226</v>
      </c>
    </row>
    <row r="17" spans="1:5" x14ac:dyDescent="0.3">
      <c r="A17" s="14" t="s">
        <v>336</v>
      </c>
      <c r="E17" s="7">
        <v>804.05</v>
      </c>
    </row>
    <row r="18" spans="1:5" x14ac:dyDescent="0.3">
      <c r="A18" s="14" t="s">
        <v>337</v>
      </c>
      <c r="E18" s="7">
        <v>661.11</v>
      </c>
    </row>
  </sheetData>
  <pageMargins left="0.7" right="0.7" top="0.75" bottom="0.75" header="0.3" footer="0.3"/>
  <ignoredErrors>
    <ignoredError sqref="H2:H3"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D406E-3E5F-4446-AC44-E00B67994FE0}">
  <sheetPr codeName="Sheet5"/>
  <dimension ref="A5:G5"/>
  <sheetViews>
    <sheetView showGridLines="0" tabSelected="1" zoomScale="80" zoomScaleNormal="80" workbookViewId="0">
      <selection activeCell="G5" sqref="G5"/>
    </sheetView>
  </sheetViews>
  <sheetFormatPr defaultRowHeight="14.4" x14ac:dyDescent="0.3"/>
  <cols>
    <col min="7" max="7" width="10.44140625" bestFit="1" customWidth="1"/>
  </cols>
  <sheetData>
    <row r="5" spans="1:7" x14ac:dyDescent="0.3">
      <c r="A5" s="15" t="s">
        <v>354</v>
      </c>
      <c r="C5">
        <v>100</v>
      </c>
      <c r="E5" s="15" t="s">
        <v>355</v>
      </c>
      <c r="G5" s="7">
        <v>26200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freshDashboard">
                <anchor moveWithCells="1" sizeWithCells="1">
                  <from>
                    <xdr:col>22</xdr:col>
                    <xdr:colOff>403860</xdr:colOff>
                    <xdr:row>3</xdr:row>
                    <xdr:rowOff>137160</xdr:rowOff>
                  </from>
                  <to>
                    <xdr:col>25</xdr:col>
                    <xdr:colOff>449580</xdr:colOff>
                    <xdr:row>6</xdr:row>
                    <xdr:rowOff>30480</xdr:rowOff>
                  </to>
                </anchor>
              </controlPr>
            </control>
          </mc:Choice>
        </mc:AlternateContent>
      </controls>
    </mc:Choice>
  </mc:AlternateContent>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Event_Data</vt:lpstr>
      <vt:lpstr>Summary</vt:lpstr>
      <vt:lpstr>Projections</vt:lpstr>
      <vt:lpstr>Event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Niq Hartley</dc:creator>
  <cp:lastModifiedBy>K K</cp:lastModifiedBy>
  <dcterms:created xsi:type="dcterms:W3CDTF">2024-11-13T21:46:44Z</dcterms:created>
  <dcterms:modified xsi:type="dcterms:W3CDTF">2025-03-31T15:10:40Z</dcterms:modified>
</cp:coreProperties>
</file>